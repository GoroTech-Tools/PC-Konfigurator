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C:\Users\thomas.gorontzy\OneDrive - INN-tegrativ gGmbH\Desktop\PC-Konfigurator-v3.3.111\data\Datei-Vorlagen\Duisdorfer BüroKonzept KG\Lernsituationen\Lernfeld 06\"/>
    </mc:Choice>
  </mc:AlternateContent>
  <xr:revisionPtr revIDLastSave="0" documentId="13_ncr:1_{6CC87FFE-ADE4-4456-A500-32A9F05BF102}" xr6:coauthVersionLast="47" xr6:coauthVersionMax="47" xr10:uidLastSave="{00000000-0000-0000-0000-000000000000}"/>
  <bookViews>
    <workbookView xWindow="-120" yWindow="-120" windowWidth="25440" windowHeight="15270" tabRatio="829" xr2:uid="{543FD187-DEA9-475D-955D-B267933A9E93}"/>
  </bookViews>
  <sheets>
    <sheet name="Ausgangsbilanz" sheetId="2" r:id="rId1"/>
    <sheet name="Bilanz nach Beleg 1" sheetId="4" r:id="rId2"/>
    <sheet name="Bilanz nach Beleg 1+2" sheetId="5" r:id="rId3"/>
    <sheet name="Bilanz nach Beleg 1, 2+3" sheetId="6" r:id="rId4"/>
    <sheet name="Bilanz nach Beleg 1, 2, 3+4" sheetId="7" r:id="rId5"/>
    <sheet name="Schlussbilanz" sheetId="8" r:id="rId6"/>
    <sheet name="Kopiervorlage Bilanz DBK" sheetId="9" r:id="rId7"/>
    <sheet name="Kopiervorlage Buchhalternase" sheetId="10" r:id="rId8"/>
  </sheets>
  <definedNames>
    <definedName name="_xlnm.Print_Area" localSheetId="0">Ausgangsbilanz!$B$1:$O$36</definedName>
    <definedName name="_xlnm.Print_Area" localSheetId="1">'Bilanz nach Beleg 1'!$B$1:$O$36</definedName>
    <definedName name="_xlnm.Print_Area" localSheetId="4">'Bilanz nach Beleg 1, 2, 3+4'!$B$1:$O$36</definedName>
    <definedName name="_xlnm.Print_Area" localSheetId="3">'Bilanz nach Beleg 1, 2+3'!$B$1:$O$36</definedName>
    <definedName name="_xlnm.Print_Area" localSheetId="2">'Bilanz nach Beleg 1+2'!$B$1:$O$36</definedName>
    <definedName name="_xlnm.Print_Area" localSheetId="6">'Kopiervorlage Bilanz DBK'!$B$1:$P$29</definedName>
    <definedName name="_xlnm.Print_Area" localSheetId="5">Schlussbilanz!$B$1:$O$36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O21" i="9" l="1"/>
  <c r="H21" i="9"/>
  <c r="E3" i="9"/>
  <c r="E8" i="2" l="1"/>
  <c r="G14" i="5"/>
  <c r="G14" i="6"/>
  <c r="G14" i="7"/>
  <c r="G14" i="8"/>
  <c r="G14" i="4"/>
  <c r="G12" i="5"/>
  <c r="G12" i="6"/>
  <c r="G28" i="6" s="1"/>
  <c r="G12" i="7"/>
  <c r="G28" i="7" s="1"/>
  <c r="G12" i="8"/>
  <c r="G12" i="4"/>
  <c r="G11" i="5"/>
  <c r="G11" i="6"/>
  <c r="G11" i="7"/>
  <c r="G11" i="8"/>
  <c r="G28" i="8" s="1"/>
  <c r="G11" i="4"/>
  <c r="E34" i="8"/>
  <c r="N28" i="8"/>
  <c r="E34" i="7"/>
  <c r="N28" i="7"/>
  <c r="E34" i="6"/>
  <c r="N28" i="6"/>
  <c r="E34" i="5"/>
  <c r="N28" i="5"/>
  <c r="E34" i="4"/>
  <c r="N28" i="4"/>
  <c r="E34" i="2"/>
  <c r="N28" i="2"/>
  <c r="G28" i="2"/>
  <c r="G28" i="5" l="1"/>
  <c r="G28" i="4"/>
</calcChain>
</file>

<file path=xl/sharedStrings.xml><?xml version="1.0" encoding="utf-8"?>
<sst xmlns="http://schemas.openxmlformats.org/spreadsheetml/2006/main" count="379" uniqueCount="77">
  <si>
    <t>I.</t>
  </si>
  <si>
    <t>Anlagevermögen</t>
  </si>
  <si>
    <t>Umlaufvermögen</t>
  </si>
  <si>
    <t>Eigenkapital</t>
  </si>
  <si>
    <t>II.</t>
  </si>
  <si>
    <t>Fremdkapital</t>
  </si>
  <si>
    <t>BILANZ</t>
  </si>
  <si>
    <t>Aktiva</t>
  </si>
  <si>
    <t>Bilanz der Duisdorfer BüroKonzept KG zum 31. Dezember 20..</t>
  </si>
  <si>
    <t>Passiva</t>
  </si>
  <si>
    <t>1.</t>
  </si>
  <si>
    <t>2.</t>
  </si>
  <si>
    <t>Hypothekenschulden</t>
  </si>
  <si>
    <t>3.</t>
  </si>
  <si>
    <t>Darlehensschulden</t>
  </si>
  <si>
    <t>Verbindlichkeiten a. LL</t>
  </si>
  <si>
    <t>Hilfstoffe lt. IV 2</t>
  </si>
  <si>
    <t>Betriebsstoffe lt. IV 3</t>
  </si>
  <si>
    <t>4.</t>
  </si>
  <si>
    <t>Unfertige Erzeugnisse lt. IV4</t>
  </si>
  <si>
    <t>5.</t>
  </si>
  <si>
    <t>Fertige Erzeugnisse lt. IV 5</t>
  </si>
  <si>
    <t>6.</t>
  </si>
  <si>
    <t>Handelswaren</t>
  </si>
  <si>
    <t>7.</t>
  </si>
  <si>
    <t>Forderungen a. LL.</t>
  </si>
  <si>
    <t>8.</t>
  </si>
  <si>
    <t>Kasse</t>
  </si>
  <si>
    <t>9.</t>
  </si>
  <si>
    <t>Bank</t>
  </si>
  <si>
    <t>Bonn,</t>
  </si>
  <si>
    <t>Sebastian Falo</t>
  </si>
  <si>
    <t>Katharina Niester</t>
  </si>
  <si>
    <t>Technische Anlagen und Maschinen</t>
  </si>
  <si>
    <t>Ausgangsbilanz</t>
  </si>
  <si>
    <t>Schlussbilanz</t>
  </si>
  <si>
    <t>Rohstoffe/Fertigungsmaterial lt. IV1</t>
  </si>
  <si>
    <t>Betriebs- und Geschäftsausstattung</t>
  </si>
  <si>
    <t>Grundstücke und Bauten</t>
  </si>
  <si>
    <t>Betriebs- und.Geschäftsausstattung</t>
  </si>
  <si>
    <t>Hilfsstoffe lt. IV 2</t>
  </si>
  <si>
    <t>Bilanz nach Beleg 1</t>
  </si>
  <si>
    <t>Bilanz nach Beleg 1+2</t>
  </si>
  <si>
    <t>Bilanz nach Beleg 1, 2+3</t>
  </si>
  <si>
    <t>Bilanz nach Beleg 1, 2, 3+4</t>
  </si>
  <si>
    <t>Buchhalternase anklicken und kopieren sowie im Ziel einfügen.</t>
  </si>
  <si>
    <t xml:space="preserve">Gespiegelte Buchhalternase für den </t>
  </si>
  <si>
    <t>Fall der Fälle</t>
  </si>
  <si>
    <t>normale' Buchhalternase</t>
  </si>
  <si>
    <t>größer skalierte Buchhalternase</t>
  </si>
  <si>
    <t>Eine Spiegelung erreichen Sie, wenn Sie eine Buchhalternase angeklickt haben</t>
  </si>
  <si>
    <t>und unter Formformat - Drehen - Horizontal spiegeln wählen.</t>
  </si>
  <si>
    <t>kleiner skalierte Buchhalternase</t>
  </si>
  <si>
    <t>Für Skalierungen klicken Sie die Buchhalternase an und ziehen/schieben Sie</t>
  </si>
  <si>
    <t>die Anfasspunkte an den Ecken und Rändern, bis die gewünschte Größe</t>
  </si>
  <si>
    <t>gegeben ist.</t>
  </si>
  <si>
    <t>Hinweis:</t>
  </si>
  <si>
    <t>Achten Sie bei gruppierten Objekten (hier die Linien für die Buchhalternase</t>
  </si>
  <si>
    <t>darauf, dass nur der äußere Rahmen der angeklickten Buchhalternase</t>
  </si>
  <si>
    <t>angezeigt wird und keine Anfasspunkte an den Linien vorhanden sind.</t>
  </si>
  <si>
    <t>Datum</t>
  </si>
  <si>
    <t>Unterschriften</t>
  </si>
  <si>
    <t>Möglichkeiten der Übernahme  in</t>
  </si>
  <si>
    <t>Microsoft Excel und Word.</t>
  </si>
  <si>
    <t>SCHLUSSBILANZ</t>
  </si>
  <si>
    <t>ERÖFFNUNGSBILANZ</t>
  </si>
  <si>
    <t>Sehen Sie sich den Inhalt der Zelle E3 einmal an.</t>
  </si>
  <si>
    <t xml:space="preserve">Methoden: Tabellenblatt über das Blattregister per </t>
  </si>
  <si>
    <t>erstellen übernehmen. Alternativ Inhalte markieren und</t>
  </si>
  <si>
    <t>kopieren; in Excel als Zellen oder Bild, in Word als Tabelle,</t>
  </si>
  <si>
    <t>Bild oder verknüpftes Excel-Objekt einfügen.</t>
  </si>
  <si>
    <r>
      <t>Rechtsklick &gt;</t>
    </r>
    <r>
      <rPr>
        <i/>
        <sz val="9"/>
        <color theme="5" tint="-0.249977111117893"/>
        <rFont val="Aptos Narrow"/>
        <family val="2"/>
        <scheme val="minor"/>
      </rPr>
      <t xml:space="preserve"> Verschieben oder Kopieren</t>
    </r>
    <r>
      <rPr>
        <sz val="9"/>
        <color theme="5" tint="-0.249977111117893"/>
        <rFont val="Aptos Narrow"/>
        <family val="2"/>
        <scheme val="minor"/>
      </rPr>
      <t xml:space="preserve"> &gt;</t>
    </r>
    <r>
      <rPr>
        <i/>
        <sz val="9"/>
        <color theme="5" tint="-0.249977111117893"/>
        <rFont val="Aptos Narrow"/>
        <family val="2"/>
        <scheme val="minor"/>
      </rPr>
      <t xml:space="preserve"> Kopie erstellen</t>
    </r>
  </si>
  <si>
    <t xml:space="preserve">Mit dem Zeichen &amp; lassen sich Zellinhalte und Texte </t>
  </si>
  <si>
    <t>miteinander verknüpfen.</t>
  </si>
  <si>
    <t>Hier wird das in E27 einzugebende Datum berücksichtigt.</t>
  </si>
  <si>
    <r>
      <t xml:space="preserve">Mit </t>
    </r>
    <r>
      <rPr>
        <b/>
        <sz val="9"/>
        <color theme="5" tint="-0.249977111117893"/>
        <rFont val="Aptos Narrow"/>
        <family val="2"/>
        <scheme val="minor"/>
      </rPr>
      <t>STRG + .</t>
    </r>
    <r>
      <rPr>
        <sz val="9"/>
        <color theme="5" tint="-0.249977111117893"/>
        <rFont val="Aptos Narrow"/>
        <family val="2"/>
        <scheme val="minor"/>
      </rPr>
      <t xml:space="preserve"> geben Sie das tagesaktuelle Datum in E27 ein.</t>
    </r>
  </si>
  <si>
    <t>Kopiervorlage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</si>
</sst>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#,##0.00\ &quot;€&quot;;\-#,##0.00\ &quot;€&quot;"/>
    <numFmt numFmtId="44" formatCode="_-* #,##0.00\ &quot;€&quot;_-;\-* #,##0.00\ &quot;€&quot;_-;_-* &quot;-&quot;??\ &quot;€&quot;_-;_-@_-"/>
    <numFmt numFmtId="164" formatCode="#,##0.00\ &quot;€&quot;"/>
  </numFmts>
  <fonts count="1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u/>
      <sz val="11"/>
      <color theme="5" tint="-0.249977111117893"/>
      <name val="Aptos Narrow"/>
      <family val="2"/>
      <scheme val="minor"/>
    </font>
    <font>
      <sz val="9"/>
      <color theme="5" tint="-0.249977111117893"/>
      <name val="Aptos Narrow"/>
      <family val="2"/>
      <scheme val="minor"/>
    </font>
    <font>
      <b/>
      <sz val="9"/>
      <color theme="5" tint="-0.249977111117893"/>
      <name val="Aptos Narrow"/>
      <family val="2"/>
      <scheme val="minor"/>
    </font>
    <font>
      <sz val="10"/>
      <color theme="5" tint="-0.249977111117893"/>
      <name val="Aptos Narrow"/>
      <family val="2"/>
      <scheme val="minor"/>
    </font>
    <font>
      <b/>
      <sz val="10"/>
      <color theme="5" tint="-0.249977111117893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color theme="1"/>
      <name val="Aptos Narrow"/>
      <family val="2"/>
      <scheme val="minor"/>
    </font>
    <font>
      <i/>
      <sz val="9"/>
      <color theme="5" tint="-0.249977111117893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12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theme="5"/>
      </right>
      <top/>
      <bottom/>
      <diagonal/>
    </border>
    <border>
      <left style="thick">
        <color theme="5"/>
      </left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6">
    <xf numFmtId="0" fontId="0" fillId="0" borderId="0" xfId="0"/>
    <xf numFmtId="0" fontId="0" fillId="0" borderId="2" xfId="0" applyBorder="1"/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Continuous" vertical="center"/>
    </xf>
    <xf numFmtId="0" fontId="0" fillId="0" borderId="1" xfId="0" applyBorder="1" applyAlignment="1">
      <alignment horizontal="right" vertical="center"/>
    </xf>
    <xf numFmtId="0" fontId="0" fillId="0" borderId="0" xfId="0" applyAlignment="1">
      <alignment vertical="center"/>
    </xf>
    <xf numFmtId="0" fontId="0" fillId="0" borderId="3" xfId="0" applyBorder="1"/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0" borderId="4" xfId="0" applyBorder="1"/>
    <xf numFmtId="164" fontId="0" fillId="0" borderId="5" xfId="0" applyNumberFormat="1" applyBorder="1"/>
    <xf numFmtId="44" fontId="0" fillId="0" borderId="0" xfId="0" applyNumberFormat="1"/>
    <xf numFmtId="44" fontId="0" fillId="0" borderId="4" xfId="0" applyNumberFormat="1" applyBorder="1"/>
    <xf numFmtId="164" fontId="0" fillId="0" borderId="0" xfId="0" applyNumberFormat="1"/>
    <xf numFmtId="0" fontId="0" fillId="0" borderId="0" xfId="0" applyAlignment="1">
      <alignment horizontal="center"/>
    </xf>
    <xf numFmtId="44" fontId="0" fillId="0" borderId="2" xfId="0" applyNumberFormat="1" applyBorder="1"/>
    <xf numFmtId="0" fontId="0" fillId="0" borderId="6" xfId="0" applyBorder="1"/>
    <xf numFmtId="7" fontId="0" fillId="0" borderId="7" xfId="0" applyNumberFormat="1" applyBorder="1"/>
    <xf numFmtId="44" fontId="0" fillId="0" borderId="8" xfId="0" applyNumberFormat="1" applyBorder="1"/>
    <xf numFmtId="0" fontId="0" fillId="0" borderId="7" xfId="0" applyBorder="1"/>
    <xf numFmtId="164" fontId="0" fillId="0" borderId="7" xfId="0" applyNumberFormat="1" applyBorder="1"/>
    <xf numFmtId="14" fontId="0" fillId="0" borderId="0" xfId="0" applyNumberFormat="1" applyAlignment="1">
      <alignment horizontal="left"/>
    </xf>
    <xf numFmtId="0" fontId="0" fillId="0" borderId="9" xfId="0" applyBorder="1" applyAlignment="1">
      <alignment horizontal="center"/>
    </xf>
    <xf numFmtId="164" fontId="0" fillId="2" borderId="5" xfId="0" applyNumberFormat="1" applyFill="1" applyBorder="1"/>
    <xf numFmtId="0" fontId="4" fillId="0" borderId="0" xfId="1" applyFont="1"/>
    <xf numFmtId="0" fontId="5" fillId="0" borderId="0" xfId="1" applyFont="1"/>
    <xf numFmtId="0" fontId="6" fillId="0" borderId="0" xfId="1" applyFont="1"/>
    <xf numFmtId="0" fontId="7" fillId="0" borderId="0" xfId="0" applyFont="1"/>
    <xf numFmtId="0" fontId="8" fillId="0" borderId="0" xfId="0" applyFont="1"/>
    <xf numFmtId="0" fontId="7" fillId="0" borderId="0" xfId="0" quotePrefix="1" applyFont="1"/>
    <xf numFmtId="0" fontId="0" fillId="0" borderId="10" xfId="0" applyBorder="1"/>
    <xf numFmtId="0" fontId="0" fillId="0" borderId="11" xfId="0" applyBorder="1"/>
    <xf numFmtId="14" fontId="9" fillId="0" borderId="0" xfId="0" applyNumberFormat="1" applyFont="1"/>
    <xf numFmtId="0" fontId="10" fillId="0" borderId="0" xfId="0" applyFont="1"/>
    <xf numFmtId="0" fontId="10" fillId="0" borderId="0" xfId="0" applyFont="1" applyAlignment="1">
      <alignment horizontal="right"/>
    </xf>
    <xf numFmtId="0" fontId="1" fillId="0" borderId="1" xfId="0" applyFont="1" applyBorder="1" applyAlignment="1">
      <alignment vertical="center"/>
    </xf>
    <xf numFmtId="0" fontId="1" fillId="0" borderId="1" xfId="0" applyFont="1" applyBorder="1" applyAlignment="1">
      <alignment horizontal="right" vertical="center"/>
    </xf>
    <xf numFmtId="14" fontId="0" fillId="0" borderId="0" xfId="0" applyNumberFormat="1" applyAlignment="1">
      <alignment horizontal="left" indent="1"/>
    </xf>
    <xf numFmtId="14" fontId="0" fillId="0" borderId="5" xfId="0" applyNumberFormat="1" applyBorder="1" applyAlignment="1">
      <alignment horizontal="center"/>
    </xf>
    <xf numFmtId="0" fontId="5" fillId="0" borderId="0" xfId="0" applyFont="1" applyAlignment="1">
      <alignment vertical="top" wrapText="1"/>
    </xf>
    <xf numFmtId="0" fontId="8" fillId="0" borderId="0" xfId="0" applyFont="1" applyAlignment="1">
      <alignment vertical="top"/>
    </xf>
    <xf numFmtId="0" fontId="5" fillId="0" borderId="0" xfId="0" applyFont="1" applyAlignment="1">
      <alignment vertical="center" wrapText="1"/>
    </xf>
    <xf numFmtId="0" fontId="6" fillId="0" borderId="0" xfId="0" applyFont="1" applyAlignment="1">
      <alignment vertical="top" wrapText="1"/>
    </xf>
    <xf numFmtId="0" fontId="0" fillId="0" borderId="0" xfId="0" applyAlignment="1">
      <alignment horizontal="left"/>
    </xf>
    <xf numFmtId="0" fontId="2" fillId="0" borderId="2" xfId="0" applyFont="1" applyBorder="1" applyAlignment="1">
      <alignment horizontal="center" vertical="center"/>
    </xf>
    <xf numFmtId="0" fontId="0" fillId="0" borderId="9" xfId="0" applyBorder="1" applyAlignment="1">
      <alignment horizontal="center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123825</xdr:colOff>
      <xdr:row>0</xdr:row>
      <xdr:rowOff>28575</xdr:rowOff>
    </xdr:from>
    <xdr:to>
      <xdr:col>15</xdr:col>
      <xdr:colOff>10672</xdr:colOff>
      <xdr:row>4</xdr:row>
      <xdr:rowOff>138305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9FEACD7-4401-436D-8F10-7A3B5CADA0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82000" y="28575"/>
          <a:ext cx="1801372" cy="87173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15</xdr:row>
      <xdr:rowOff>85726</xdr:rowOff>
    </xdr:from>
    <xdr:to>
      <xdr:col>14</xdr:col>
      <xdr:colOff>0</xdr:colOff>
      <xdr:row>27</xdr:row>
      <xdr:rowOff>0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C9E226D8-AD0E-4A01-8702-61D324D61CE3}"/>
            </a:ext>
          </a:extLst>
        </xdr:cNvPr>
        <xdr:cNvGrpSpPr/>
      </xdr:nvGrpSpPr>
      <xdr:grpSpPr>
        <a:xfrm rot="10800000" flipH="1" flipV="1">
          <a:off x="4314825" y="2924176"/>
          <a:ext cx="5676900" cy="2066924"/>
          <a:chOff x="3090000" y="390525"/>
          <a:chExt cx="2202000" cy="361950"/>
        </a:xfrm>
      </xdr:grpSpPr>
      <xdr:cxnSp macro="">
        <xdr:nvCxnSpPr>
          <xdr:cNvPr id="4" name="Gerader Verbinder 3">
            <a:extLst>
              <a:ext uri="{FF2B5EF4-FFF2-40B4-BE49-F238E27FC236}">
                <a16:creationId xmlns:a16="http://schemas.microsoft.com/office/drawing/2014/main" id="{BE581C40-D67F-6719-1E57-367AD16B8C7C}"/>
              </a:ext>
            </a:extLst>
          </xdr:cNvPr>
          <xdr:cNvCxnSpPr/>
        </xdr:nvCxnSpPr>
        <xdr:spPr>
          <a:xfrm>
            <a:off x="3090000" y="752475"/>
            <a:ext cx="7200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" name="Gerader Verbinder 4">
            <a:extLst>
              <a:ext uri="{FF2B5EF4-FFF2-40B4-BE49-F238E27FC236}">
                <a16:creationId xmlns:a16="http://schemas.microsoft.com/office/drawing/2014/main" id="{FE3F769E-4F93-3DE6-7FD3-79EB5A993DEE}"/>
              </a:ext>
            </a:extLst>
          </xdr:cNvPr>
          <xdr:cNvCxnSpPr/>
        </xdr:nvCxnSpPr>
        <xdr:spPr>
          <a:xfrm>
            <a:off x="4572000" y="390525"/>
            <a:ext cx="7200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" name="Gerader Verbinder 5">
            <a:extLst>
              <a:ext uri="{FF2B5EF4-FFF2-40B4-BE49-F238E27FC236}">
                <a16:creationId xmlns:a16="http://schemas.microsoft.com/office/drawing/2014/main" id="{D97143FF-928A-B616-B2CA-28AE85AEA817}"/>
              </a:ext>
            </a:extLst>
          </xdr:cNvPr>
          <xdr:cNvCxnSpPr/>
        </xdr:nvCxnSpPr>
        <xdr:spPr>
          <a:xfrm flipV="1">
            <a:off x="3810000" y="390525"/>
            <a:ext cx="762000" cy="36195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15</xdr:col>
      <xdr:colOff>200025</xdr:colOff>
      <xdr:row>10</xdr:row>
      <xdr:rowOff>152400</xdr:rowOff>
    </xdr:from>
    <xdr:to>
      <xdr:col>20</xdr:col>
      <xdr:colOff>304800</xdr:colOff>
      <xdr:row>24</xdr:row>
      <xdr:rowOff>76200</xdr:rowOff>
    </xdr:to>
    <xdr:sp macro="" textlink="">
      <xdr:nvSpPr>
        <xdr:cNvPr id="7" name="Denkblase: wolkenförmig 6">
          <a:extLst>
            <a:ext uri="{FF2B5EF4-FFF2-40B4-BE49-F238E27FC236}">
              <a16:creationId xmlns:a16="http://schemas.microsoft.com/office/drawing/2014/main" id="{F8DD8377-F020-60E4-7823-41C9AD30AE4A}"/>
            </a:ext>
          </a:extLst>
        </xdr:cNvPr>
        <xdr:cNvSpPr/>
      </xdr:nvSpPr>
      <xdr:spPr>
        <a:xfrm>
          <a:off x="10372725" y="2038350"/>
          <a:ext cx="3914775" cy="2590800"/>
        </a:xfrm>
        <a:prstGeom prst="cloudCallout">
          <a:avLst>
            <a:gd name="adj1" fmla="val -101125"/>
            <a:gd name="adj2" fmla="val 40809"/>
          </a:avLst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>
            <a:buFontTx/>
            <a:buNone/>
          </a:pPr>
          <a:endParaRPr lang="de-DE" sz="1100" b="1"/>
        </a:p>
        <a:p>
          <a:pPr marL="228600" indent="-228600" algn="l">
            <a:buFont typeface="+mj-lt"/>
            <a:buAutoNum type="arabicPeriod"/>
          </a:pPr>
          <a:r>
            <a:rPr lang="de-DE" sz="1100" b="1"/>
            <a:t>Ausgangsbilanz</a:t>
          </a:r>
          <a:r>
            <a:rPr lang="de-DE" sz="1100" baseline="0"/>
            <a:t> prüfen und ggf. anpassen</a:t>
          </a:r>
        </a:p>
        <a:p>
          <a:pPr marL="228600" indent="-228600" algn="l">
            <a:buFont typeface="+mj-lt"/>
            <a:buAutoNum type="arabicPeriod"/>
          </a:pPr>
          <a:r>
            <a:rPr lang="de-DE" sz="1100" b="1" baseline="0"/>
            <a:t>Tabellenblatt Ausgangsbilanz </a:t>
          </a:r>
          <a:r>
            <a:rPr lang="de-DE" sz="1100" baseline="0"/>
            <a:t>kopieren und </a:t>
          </a:r>
          <a:r>
            <a:rPr lang="de-DE" sz="1100" b="1" baseline="0"/>
            <a:t>Bilanz nach Beleg 1</a:t>
          </a:r>
          <a:r>
            <a:rPr lang="de-DE" sz="1100" baseline="0"/>
            <a:t> benennen</a:t>
          </a:r>
        </a:p>
        <a:p>
          <a:pPr marL="228600" indent="-228600" algn="l">
            <a:buFont typeface="+mj-lt"/>
            <a:buAutoNum type="arabicPeriod"/>
          </a:pPr>
          <a:r>
            <a:rPr lang="de-DE" sz="1100" b="1" baseline="0"/>
            <a:t>Bilanz nach Beleg 1</a:t>
          </a:r>
          <a:r>
            <a:rPr lang="de-DE" sz="1100" baseline="0"/>
            <a:t> anpassen</a:t>
          </a:r>
        </a:p>
        <a:p>
          <a:pPr marL="228600" indent="-228600" algn="l">
            <a:buFont typeface="Aptos Narrow" panose="020B0004020202020204" pitchFamily="34" charset="0"/>
            <a:buChar char="…"/>
          </a:pPr>
          <a:r>
            <a:rPr lang="de-DE" sz="1100"/>
            <a:t>Vorgang bis zur </a:t>
          </a:r>
          <a:r>
            <a:rPr lang="de-DE" sz="1100" b="1"/>
            <a:t>Schlussbilanz</a:t>
          </a:r>
          <a:r>
            <a:rPr lang="de-DE" sz="1100"/>
            <a:t> wiederholen (siehe Tabellenblatt-Register)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123825</xdr:colOff>
      <xdr:row>0</xdr:row>
      <xdr:rowOff>19050</xdr:rowOff>
    </xdr:from>
    <xdr:to>
      <xdr:col>15</xdr:col>
      <xdr:colOff>10672</xdr:colOff>
      <xdr:row>4</xdr:row>
      <xdr:rowOff>128780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AA3AAAD-2616-4997-8770-698C4F3CA8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82000" y="19050"/>
          <a:ext cx="1801372" cy="87173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15</xdr:row>
      <xdr:rowOff>85726</xdr:rowOff>
    </xdr:from>
    <xdr:to>
      <xdr:col>14</xdr:col>
      <xdr:colOff>0</xdr:colOff>
      <xdr:row>27</xdr:row>
      <xdr:rowOff>0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46E5887-A12A-4214-9879-B39B1DB7129D}"/>
            </a:ext>
          </a:extLst>
        </xdr:cNvPr>
        <xdr:cNvGrpSpPr/>
      </xdr:nvGrpSpPr>
      <xdr:grpSpPr>
        <a:xfrm rot="10800000" flipH="1" flipV="1">
          <a:off x="4314825" y="2924176"/>
          <a:ext cx="5676900" cy="2066924"/>
          <a:chOff x="3090000" y="390525"/>
          <a:chExt cx="2202000" cy="361950"/>
        </a:xfrm>
      </xdr:grpSpPr>
      <xdr:cxnSp macro="">
        <xdr:nvCxnSpPr>
          <xdr:cNvPr id="4" name="Gerader Verbinder 3">
            <a:extLst>
              <a:ext uri="{FF2B5EF4-FFF2-40B4-BE49-F238E27FC236}">
                <a16:creationId xmlns:a16="http://schemas.microsoft.com/office/drawing/2014/main" id="{60341C7C-2634-5626-FA44-6CF86BEC6992}"/>
              </a:ext>
            </a:extLst>
          </xdr:cNvPr>
          <xdr:cNvCxnSpPr/>
        </xdr:nvCxnSpPr>
        <xdr:spPr>
          <a:xfrm>
            <a:off x="3090000" y="752475"/>
            <a:ext cx="7200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" name="Gerader Verbinder 4">
            <a:extLst>
              <a:ext uri="{FF2B5EF4-FFF2-40B4-BE49-F238E27FC236}">
                <a16:creationId xmlns:a16="http://schemas.microsoft.com/office/drawing/2014/main" id="{63150D84-3764-0435-44BA-7ADAE5A66E38}"/>
              </a:ext>
            </a:extLst>
          </xdr:cNvPr>
          <xdr:cNvCxnSpPr/>
        </xdr:nvCxnSpPr>
        <xdr:spPr>
          <a:xfrm>
            <a:off x="4572000" y="390525"/>
            <a:ext cx="7200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" name="Gerader Verbinder 5">
            <a:extLst>
              <a:ext uri="{FF2B5EF4-FFF2-40B4-BE49-F238E27FC236}">
                <a16:creationId xmlns:a16="http://schemas.microsoft.com/office/drawing/2014/main" id="{43C9ADF9-5E9A-35E8-76D7-EEDC28066443}"/>
              </a:ext>
            </a:extLst>
          </xdr:cNvPr>
          <xdr:cNvCxnSpPr/>
        </xdr:nvCxnSpPr>
        <xdr:spPr>
          <a:xfrm flipV="1">
            <a:off x="3810000" y="390525"/>
            <a:ext cx="762000" cy="36195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123825</xdr:colOff>
      <xdr:row>0</xdr:row>
      <xdr:rowOff>19050</xdr:rowOff>
    </xdr:from>
    <xdr:to>
      <xdr:col>15</xdr:col>
      <xdr:colOff>10672</xdr:colOff>
      <xdr:row>4</xdr:row>
      <xdr:rowOff>128780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E2E4A642-8B60-4488-9E3A-4CC72D29B8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82000" y="19050"/>
          <a:ext cx="1801372" cy="87173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15</xdr:row>
      <xdr:rowOff>85726</xdr:rowOff>
    </xdr:from>
    <xdr:to>
      <xdr:col>14</xdr:col>
      <xdr:colOff>0</xdr:colOff>
      <xdr:row>27</xdr:row>
      <xdr:rowOff>0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4DD69CAE-C8C3-4876-9AC9-87CB0E9BA18E}"/>
            </a:ext>
          </a:extLst>
        </xdr:cNvPr>
        <xdr:cNvGrpSpPr/>
      </xdr:nvGrpSpPr>
      <xdr:grpSpPr>
        <a:xfrm rot="10800000" flipH="1" flipV="1">
          <a:off x="4314825" y="2924176"/>
          <a:ext cx="5676900" cy="2066924"/>
          <a:chOff x="3090000" y="390525"/>
          <a:chExt cx="2202000" cy="361950"/>
        </a:xfrm>
      </xdr:grpSpPr>
      <xdr:cxnSp macro="">
        <xdr:nvCxnSpPr>
          <xdr:cNvPr id="4" name="Gerader Verbinder 3">
            <a:extLst>
              <a:ext uri="{FF2B5EF4-FFF2-40B4-BE49-F238E27FC236}">
                <a16:creationId xmlns:a16="http://schemas.microsoft.com/office/drawing/2014/main" id="{059E1D01-5BFE-E565-63DE-2F987A2CF2FF}"/>
              </a:ext>
            </a:extLst>
          </xdr:cNvPr>
          <xdr:cNvCxnSpPr/>
        </xdr:nvCxnSpPr>
        <xdr:spPr>
          <a:xfrm>
            <a:off x="3090000" y="752475"/>
            <a:ext cx="7200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" name="Gerader Verbinder 4">
            <a:extLst>
              <a:ext uri="{FF2B5EF4-FFF2-40B4-BE49-F238E27FC236}">
                <a16:creationId xmlns:a16="http://schemas.microsoft.com/office/drawing/2014/main" id="{8BC7A250-D257-FF66-697B-A429128E1797}"/>
              </a:ext>
            </a:extLst>
          </xdr:cNvPr>
          <xdr:cNvCxnSpPr/>
        </xdr:nvCxnSpPr>
        <xdr:spPr>
          <a:xfrm>
            <a:off x="4572000" y="390525"/>
            <a:ext cx="7200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" name="Gerader Verbinder 5">
            <a:extLst>
              <a:ext uri="{FF2B5EF4-FFF2-40B4-BE49-F238E27FC236}">
                <a16:creationId xmlns:a16="http://schemas.microsoft.com/office/drawing/2014/main" id="{23E89E8A-8C4E-7EC6-4D74-2BD27C8CD4F3}"/>
              </a:ext>
            </a:extLst>
          </xdr:cNvPr>
          <xdr:cNvCxnSpPr/>
        </xdr:nvCxnSpPr>
        <xdr:spPr>
          <a:xfrm flipV="1">
            <a:off x="3810000" y="390525"/>
            <a:ext cx="762000" cy="36195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123825</xdr:colOff>
      <xdr:row>0</xdr:row>
      <xdr:rowOff>28575</xdr:rowOff>
    </xdr:from>
    <xdr:to>
      <xdr:col>15</xdr:col>
      <xdr:colOff>10672</xdr:colOff>
      <xdr:row>4</xdr:row>
      <xdr:rowOff>138305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2C55CA-4B40-4399-8520-1ACE57CEFC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82000" y="28575"/>
          <a:ext cx="1801372" cy="87173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15</xdr:row>
      <xdr:rowOff>85726</xdr:rowOff>
    </xdr:from>
    <xdr:to>
      <xdr:col>14</xdr:col>
      <xdr:colOff>0</xdr:colOff>
      <xdr:row>27</xdr:row>
      <xdr:rowOff>0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979979F8-63E3-4776-BC0F-C4F138E4E987}"/>
            </a:ext>
          </a:extLst>
        </xdr:cNvPr>
        <xdr:cNvGrpSpPr/>
      </xdr:nvGrpSpPr>
      <xdr:grpSpPr>
        <a:xfrm rot="10800000" flipH="1" flipV="1">
          <a:off x="4314825" y="2924176"/>
          <a:ext cx="5676900" cy="2066924"/>
          <a:chOff x="3090000" y="390525"/>
          <a:chExt cx="2202000" cy="361950"/>
        </a:xfrm>
      </xdr:grpSpPr>
      <xdr:cxnSp macro="">
        <xdr:nvCxnSpPr>
          <xdr:cNvPr id="4" name="Gerader Verbinder 3">
            <a:extLst>
              <a:ext uri="{FF2B5EF4-FFF2-40B4-BE49-F238E27FC236}">
                <a16:creationId xmlns:a16="http://schemas.microsoft.com/office/drawing/2014/main" id="{E002DA71-ECB1-C26A-5501-49BCAEA6627C}"/>
              </a:ext>
            </a:extLst>
          </xdr:cNvPr>
          <xdr:cNvCxnSpPr/>
        </xdr:nvCxnSpPr>
        <xdr:spPr>
          <a:xfrm>
            <a:off x="3090000" y="752475"/>
            <a:ext cx="7200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" name="Gerader Verbinder 4">
            <a:extLst>
              <a:ext uri="{FF2B5EF4-FFF2-40B4-BE49-F238E27FC236}">
                <a16:creationId xmlns:a16="http://schemas.microsoft.com/office/drawing/2014/main" id="{32936C6C-B8ED-39B3-B559-3154663EC5BB}"/>
              </a:ext>
            </a:extLst>
          </xdr:cNvPr>
          <xdr:cNvCxnSpPr/>
        </xdr:nvCxnSpPr>
        <xdr:spPr>
          <a:xfrm>
            <a:off x="4572000" y="390525"/>
            <a:ext cx="7200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" name="Gerader Verbinder 5">
            <a:extLst>
              <a:ext uri="{FF2B5EF4-FFF2-40B4-BE49-F238E27FC236}">
                <a16:creationId xmlns:a16="http://schemas.microsoft.com/office/drawing/2014/main" id="{B7DDF278-7E76-6B7E-2AE1-BD196C3C222F}"/>
              </a:ext>
            </a:extLst>
          </xdr:cNvPr>
          <xdr:cNvCxnSpPr/>
        </xdr:nvCxnSpPr>
        <xdr:spPr>
          <a:xfrm flipV="1">
            <a:off x="3810000" y="390525"/>
            <a:ext cx="762000" cy="36195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123825</xdr:colOff>
      <xdr:row>0</xdr:row>
      <xdr:rowOff>19050</xdr:rowOff>
    </xdr:from>
    <xdr:to>
      <xdr:col>15</xdr:col>
      <xdr:colOff>10672</xdr:colOff>
      <xdr:row>4</xdr:row>
      <xdr:rowOff>128780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2976BD11-6DC7-42BB-935C-3E43787A3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82000" y="19050"/>
          <a:ext cx="1801372" cy="87173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15</xdr:row>
      <xdr:rowOff>85726</xdr:rowOff>
    </xdr:from>
    <xdr:to>
      <xdr:col>14</xdr:col>
      <xdr:colOff>0</xdr:colOff>
      <xdr:row>27</xdr:row>
      <xdr:rowOff>0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D2FB9E20-5A87-4697-90F0-455128BD98B3}"/>
            </a:ext>
          </a:extLst>
        </xdr:cNvPr>
        <xdr:cNvGrpSpPr/>
      </xdr:nvGrpSpPr>
      <xdr:grpSpPr>
        <a:xfrm rot="10800000" flipH="1" flipV="1">
          <a:off x="4314825" y="2924176"/>
          <a:ext cx="5676900" cy="2066924"/>
          <a:chOff x="3090000" y="390525"/>
          <a:chExt cx="2202000" cy="361950"/>
        </a:xfrm>
      </xdr:grpSpPr>
      <xdr:cxnSp macro="">
        <xdr:nvCxnSpPr>
          <xdr:cNvPr id="4" name="Gerader Verbinder 3">
            <a:extLst>
              <a:ext uri="{FF2B5EF4-FFF2-40B4-BE49-F238E27FC236}">
                <a16:creationId xmlns:a16="http://schemas.microsoft.com/office/drawing/2014/main" id="{3F3367F7-6BCB-CEA2-7CDF-671DFA22C2CB}"/>
              </a:ext>
            </a:extLst>
          </xdr:cNvPr>
          <xdr:cNvCxnSpPr/>
        </xdr:nvCxnSpPr>
        <xdr:spPr>
          <a:xfrm>
            <a:off x="3090000" y="752475"/>
            <a:ext cx="7200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" name="Gerader Verbinder 4">
            <a:extLst>
              <a:ext uri="{FF2B5EF4-FFF2-40B4-BE49-F238E27FC236}">
                <a16:creationId xmlns:a16="http://schemas.microsoft.com/office/drawing/2014/main" id="{BFF8BC74-1960-D2FF-0A67-F96DD76D8BCB}"/>
              </a:ext>
            </a:extLst>
          </xdr:cNvPr>
          <xdr:cNvCxnSpPr/>
        </xdr:nvCxnSpPr>
        <xdr:spPr>
          <a:xfrm>
            <a:off x="4572000" y="390525"/>
            <a:ext cx="7200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" name="Gerader Verbinder 5">
            <a:extLst>
              <a:ext uri="{FF2B5EF4-FFF2-40B4-BE49-F238E27FC236}">
                <a16:creationId xmlns:a16="http://schemas.microsoft.com/office/drawing/2014/main" id="{793B28BE-A71D-4E5C-DB50-CFD1C1C1121C}"/>
              </a:ext>
            </a:extLst>
          </xdr:cNvPr>
          <xdr:cNvCxnSpPr/>
        </xdr:nvCxnSpPr>
        <xdr:spPr>
          <a:xfrm flipV="1">
            <a:off x="3810000" y="390525"/>
            <a:ext cx="762000" cy="36195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114300</xdr:colOff>
      <xdr:row>0</xdr:row>
      <xdr:rowOff>19050</xdr:rowOff>
    </xdr:from>
    <xdr:to>
      <xdr:col>15</xdr:col>
      <xdr:colOff>1147</xdr:colOff>
      <xdr:row>4</xdr:row>
      <xdr:rowOff>128780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EACE80FB-0059-49DC-BB28-738EE70A02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72475" y="19050"/>
          <a:ext cx="1801372" cy="87173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15</xdr:row>
      <xdr:rowOff>85726</xdr:rowOff>
    </xdr:from>
    <xdr:to>
      <xdr:col>14</xdr:col>
      <xdr:colOff>0</xdr:colOff>
      <xdr:row>27</xdr:row>
      <xdr:rowOff>0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84F74AD7-8F19-4EAE-BE8E-DFA1208A9A3F}"/>
            </a:ext>
          </a:extLst>
        </xdr:cNvPr>
        <xdr:cNvGrpSpPr/>
      </xdr:nvGrpSpPr>
      <xdr:grpSpPr>
        <a:xfrm rot="10800000" flipH="1" flipV="1">
          <a:off x="4314825" y="2924176"/>
          <a:ext cx="5676900" cy="2066924"/>
          <a:chOff x="3090000" y="390525"/>
          <a:chExt cx="2202000" cy="361950"/>
        </a:xfrm>
      </xdr:grpSpPr>
      <xdr:cxnSp macro="">
        <xdr:nvCxnSpPr>
          <xdr:cNvPr id="4" name="Gerader Verbinder 3">
            <a:extLst>
              <a:ext uri="{FF2B5EF4-FFF2-40B4-BE49-F238E27FC236}">
                <a16:creationId xmlns:a16="http://schemas.microsoft.com/office/drawing/2014/main" id="{FC9CFE0A-7F42-8399-D525-F7FB64B400E9}"/>
              </a:ext>
            </a:extLst>
          </xdr:cNvPr>
          <xdr:cNvCxnSpPr/>
        </xdr:nvCxnSpPr>
        <xdr:spPr>
          <a:xfrm>
            <a:off x="3090000" y="752475"/>
            <a:ext cx="7200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" name="Gerader Verbinder 4">
            <a:extLst>
              <a:ext uri="{FF2B5EF4-FFF2-40B4-BE49-F238E27FC236}">
                <a16:creationId xmlns:a16="http://schemas.microsoft.com/office/drawing/2014/main" id="{038004F9-8933-7D1A-6A1C-52B81C564ED0}"/>
              </a:ext>
            </a:extLst>
          </xdr:cNvPr>
          <xdr:cNvCxnSpPr/>
        </xdr:nvCxnSpPr>
        <xdr:spPr>
          <a:xfrm>
            <a:off x="4572000" y="390525"/>
            <a:ext cx="7200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" name="Gerader Verbinder 5">
            <a:extLst>
              <a:ext uri="{FF2B5EF4-FFF2-40B4-BE49-F238E27FC236}">
                <a16:creationId xmlns:a16="http://schemas.microsoft.com/office/drawing/2014/main" id="{D82FBA12-0210-CB03-587F-32EA1E863D2A}"/>
              </a:ext>
            </a:extLst>
          </xdr:cNvPr>
          <xdr:cNvCxnSpPr/>
        </xdr:nvCxnSpPr>
        <xdr:spPr>
          <a:xfrm flipV="1">
            <a:off x="3810000" y="390525"/>
            <a:ext cx="762000" cy="36195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15</xdr:col>
      <xdr:colOff>219075</xdr:colOff>
      <xdr:row>10</xdr:row>
      <xdr:rowOff>95250</xdr:rowOff>
    </xdr:from>
    <xdr:to>
      <xdr:col>20</xdr:col>
      <xdr:colOff>438150</xdr:colOff>
      <xdr:row>24</xdr:row>
      <xdr:rowOff>19050</xdr:rowOff>
    </xdr:to>
    <xdr:sp macro="" textlink="">
      <xdr:nvSpPr>
        <xdr:cNvPr id="7" name="Denkblase: wolkenförmig 6">
          <a:extLst>
            <a:ext uri="{FF2B5EF4-FFF2-40B4-BE49-F238E27FC236}">
              <a16:creationId xmlns:a16="http://schemas.microsoft.com/office/drawing/2014/main" id="{51114F13-D5E9-40CE-B348-3BB63DF61163}"/>
            </a:ext>
          </a:extLst>
        </xdr:cNvPr>
        <xdr:cNvSpPr/>
      </xdr:nvSpPr>
      <xdr:spPr>
        <a:xfrm>
          <a:off x="10391775" y="1981200"/>
          <a:ext cx="4029075" cy="2590800"/>
        </a:xfrm>
        <a:prstGeom prst="cloudCallout">
          <a:avLst>
            <a:gd name="adj1" fmla="val -101125"/>
            <a:gd name="adj2" fmla="val 40809"/>
          </a:avLst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>
            <a:buFontTx/>
            <a:buNone/>
          </a:pPr>
          <a:br>
            <a:rPr lang="de-DE" sz="1100" b="0"/>
          </a:br>
          <a:r>
            <a:rPr lang="de-DE" sz="1100" b="0"/>
            <a:t>Wenn das </a:t>
          </a:r>
          <a:r>
            <a:rPr lang="de-DE" sz="1100" b="1"/>
            <a:t>Eigenkapital unverändert </a:t>
          </a:r>
          <a:r>
            <a:rPr lang="de-DE" sz="1100" b="0"/>
            <a:t>bleibt</a:t>
          </a:r>
        </a:p>
        <a:p>
          <a:pPr marL="0" indent="0" algn="ctr">
            <a:buFontTx/>
            <a:buNone/>
          </a:pPr>
          <a:br>
            <a:rPr lang="de-DE" sz="1100" b="0"/>
          </a:br>
          <a:r>
            <a:rPr lang="de-DE" sz="1100" b="1"/>
            <a:t>und</a:t>
          </a:r>
        </a:p>
        <a:p>
          <a:pPr marL="0" indent="0" algn="l">
            <a:buFontTx/>
            <a:buNone/>
          </a:pPr>
          <a:br>
            <a:rPr lang="de-DE" sz="1100" b="0"/>
          </a:br>
          <a:r>
            <a:rPr lang="de-DE" sz="1100" b="0"/>
            <a:t>Ihre </a:t>
          </a:r>
          <a:r>
            <a:rPr lang="de-DE" sz="1100" b="1"/>
            <a:t>Bilanzsummen jeweils 2.810.000,00 € </a:t>
          </a:r>
          <a:r>
            <a:rPr lang="de-DE" sz="1100" b="0"/>
            <a:t>betragen,</a:t>
          </a:r>
          <a:br>
            <a:rPr lang="de-DE" sz="1100" b="0"/>
          </a:br>
          <a:br>
            <a:rPr lang="de-DE" sz="1100" b="0"/>
          </a:br>
          <a:r>
            <a:rPr lang="de-DE" sz="1100" b="0"/>
            <a:t>dann haben Sie alles richtig gemacht.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752474</xdr:colOff>
      <xdr:row>10</xdr:row>
      <xdr:rowOff>85726</xdr:rowOff>
    </xdr:from>
    <xdr:to>
      <xdr:col>15</xdr:col>
      <xdr:colOff>0</xdr:colOff>
      <xdr:row>20</xdr:row>
      <xdr:rowOff>0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1739633B-BA12-4464-88A0-43D4CC6E04DD}"/>
            </a:ext>
          </a:extLst>
        </xdr:cNvPr>
        <xdr:cNvGrpSpPr/>
      </xdr:nvGrpSpPr>
      <xdr:grpSpPr>
        <a:xfrm rot="10800000" flipH="1" flipV="1">
          <a:off x="4476749" y="2105026"/>
          <a:ext cx="5638801" cy="1685924"/>
          <a:chOff x="3090000" y="390525"/>
          <a:chExt cx="2202000" cy="361950"/>
        </a:xfrm>
      </xdr:grpSpPr>
      <xdr:cxnSp macro="">
        <xdr:nvCxnSpPr>
          <xdr:cNvPr id="4" name="Gerader Verbinder 3">
            <a:extLst>
              <a:ext uri="{FF2B5EF4-FFF2-40B4-BE49-F238E27FC236}">
                <a16:creationId xmlns:a16="http://schemas.microsoft.com/office/drawing/2014/main" id="{F81ACF47-97B5-06DE-0AB3-1FF46CAD5E95}"/>
              </a:ext>
            </a:extLst>
          </xdr:cNvPr>
          <xdr:cNvCxnSpPr/>
        </xdr:nvCxnSpPr>
        <xdr:spPr>
          <a:xfrm>
            <a:off x="3090000" y="752475"/>
            <a:ext cx="7200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" name="Gerader Verbinder 4">
            <a:extLst>
              <a:ext uri="{FF2B5EF4-FFF2-40B4-BE49-F238E27FC236}">
                <a16:creationId xmlns:a16="http://schemas.microsoft.com/office/drawing/2014/main" id="{187B1D82-64EA-827A-AB12-610DEA4E6E83}"/>
              </a:ext>
            </a:extLst>
          </xdr:cNvPr>
          <xdr:cNvCxnSpPr/>
        </xdr:nvCxnSpPr>
        <xdr:spPr>
          <a:xfrm>
            <a:off x="4572000" y="390525"/>
            <a:ext cx="7200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" name="Gerader Verbinder 5">
            <a:extLst>
              <a:ext uri="{FF2B5EF4-FFF2-40B4-BE49-F238E27FC236}">
                <a16:creationId xmlns:a16="http://schemas.microsoft.com/office/drawing/2014/main" id="{C2D2CBF2-CB2C-F948-3B22-DAD163C32FB9}"/>
              </a:ext>
            </a:extLst>
          </xdr:cNvPr>
          <xdr:cNvCxnSpPr/>
        </xdr:nvCxnSpPr>
        <xdr:spPr>
          <a:xfrm flipV="1">
            <a:off x="3810000" y="390525"/>
            <a:ext cx="762000" cy="36195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123825</xdr:colOff>
      <xdr:row>4</xdr:row>
      <xdr:rowOff>47625</xdr:rowOff>
    </xdr:from>
    <xdr:to>
      <xdr:col>8</xdr:col>
      <xdr:colOff>276225</xdr:colOff>
      <xdr:row>14</xdr:row>
      <xdr:rowOff>180975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FF30841-35C6-40C3-B442-EF282A6D3591}"/>
            </a:ext>
          </a:extLst>
        </xdr:cNvPr>
        <xdr:cNvGrpSpPr/>
      </xdr:nvGrpSpPr>
      <xdr:grpSpPr>
        <a:xfrm rot="10800000" flipH="1" flipV="1">
          <a:off x="885825" y="809625"/>
          <a:ext cx="5486400" cy="2038350"/>
          <a:chOff x="3090000" y="390525"/>
          <a:chExt cx="2202000" cy="361950"/>
        </a:xfrm>
      </xdr:grpSpPr>
      <xdr:cxnSp macro="">
        <xdr:nvCxnSpPr>
          <xdr:cNvPr id="3" name="Gerader Verbinder 2">
            <a:extLst>
              <a:ext uri="{FF2B5EF4-FFF2-40B4-BE49-F238E27FC236}">
                <a16:creationId xmlns:a16="http://schemas.microsoft.com/office/drawing/2014/main" id="{E20FDB0B-15BF-F07F-7D8F-47331368F254}"/>
              </a:ext>
            </a:extLst>
          </xdr:cNvPr>
          <xdr:cNvCxnSpPr/>
        </xdr:nvCxnSpPr>
        <xdr:spPr>
          <a:xfrm>
            <a:off x="3090000" y="752475"/>
            <a:ext cx="7200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" name="Gerader Verbinder 3">
            <a:extLst>
              <a:ext uri="{FF2B5EF4-FFF2-40B4-BE49-F238E27FC236}">
                <a16:creationId xmlns:a16="http://schemas.microsoft.com/office/drawing/2014/main" id="{5C8F17C8-1D8F-9532-A4E3-9658A0947E5B}"/>
              </a:ext>
            </a:extLst>
          </xdr:cNvPr>
          <xdr:cNvCxnSpPr/>
        </xdr:nvCxnSpPr>
        <xdr:spPr>
          <a:xfrm>
            <a:off x="4572000" y="390525"/>
            <a:ext cx="7200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" name="Gerader Verbinder 4">
            <a:extLst>
              <a:ext uri="{FF2B5EF4-FFF2-40B4-BE49-F238E27FC236}">
                <a16:creationId xmlns:a16="http://schemas.microsoft.com/office/drawing/2014/main" id="{CDD033D0-05EF-DCD8-646F-B2DFA4B6B5DC}"/>
              </a:ext>
            </a:extLst>
          </xdr:cNvPr>
          <xdr:cNvCxnSpPr/>
        </xdr:nvCxnSpPr>
        <xdr:spPr>
          <a:xfrm flipV="1">
            <a:off x="3810000" y="390525"/>
            <a:ext cx="762000" cy="36195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10</xdr:col>
      <xdr:colOff>761999</xdr:colOff>
      <xdr:row>4</xdr:row>
      <xdr:rowOff>76200</xdr:rowOff>
    </xdr:from>
    <xdr:to>
      <xdr:col>12</xdr:col>
      <xdr:colOff>419099</xdr:colOff>
      <xdr:row>5</xdr:row>
      <xdr:rowOff>190498</xdr:rowOff>
    </xdr:to>
    <xdr:grpSp>
      <xdr:nvGrpSpPr>
        <xdr:cNvPr id="9" name="Gruppieren 8">
          <a:extLst>
            <a:ext uri="{FF2B5EF4-FFF2-40B4-BE49-F238E27FC236}">
              <a16:creationId xmlns:a16="http://schemas.microsoft.com/office/drawing/2014/main" id="{1635FAD8-58EA-4CD6-A925-235022094A2E}"/>
            </a:ext>
          </a:extLst>
        </xdr:cNvPr>
        <xdr:cNvGrpSpPr/>
      </xdr:nvGrpSpPr>
      <xdr:grpSpPr>
        <a:xfrm rot="10800000" flipH="1" flipV="1">
          <a:off x="7219949" y="838200"/>
          <a:ext cx="1181100" cy="304798"/>
          <a:chOff x="3090000" y="390525"/>
          <a:chExt cx="2202000" cy="361950"/>
        </a:xfrm>
      </xdr:grpSpPr>
      <xdr:cxnSp macro="">
        <xdr:nvCxnSpPr>
          <xdr:cNvPr id="10" name="Gerader Verbinder 9">
            <a:extLst>
              <a:ext uri="{FF2B5EF4-FFF2-40B4-BE49-F238E27FC236}">
                <a16:creationId xmlns:a16="http://schemas.microsoft.com/office/drawing/2014/main" id="{933BB4ED-1875-F0ED-8AED-F15218317612}"/>
              </a:ext>
            </a:extLst>
          </xdr:cNvPr>
          <xdr:cNvCxnSpPr/>
        </xdr:nvCxnSpPr>
        <xdr:spPr>
          <a:xfrm>
            <a:off x="3090000" y="752475"/>
            <a:ext cx="7200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" name="Gerader Verbinder 10">
            <a:extLst>
              <a:ext uri="{FF2B5EF4-FFF2-40B4-BE49-F238E27FC236}">
                <a16:creationId xmlns:a16="http://schemas.microsoft.com/office/drawing/2014/main" id="{7AC24742-2FAB-280F-4590-58D47D0F382F}"/>
              </a:ext>
            </a:extLst>
          </xdr:cNvPr>
          <xdr:cNvCxnSpPr/>
        </xdr:nvCxnSpPr>
        <xdr:spPr>
          <a:xfrm>
            <a:off x="4572000" y="390525"/>
            <a:ext cx="7200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" name="Gerader Verbinder 11">
            <a:extLst>
              <a:ext uri="{FF2B5EF4-FFF2-40B4-BE49-F238E27FC236}">
                <a16:creationId xmlns:a16="http://schemas.microsoft.com/office/drawing/2014/main" id="{028053C7-C6D0-FA5F-CECF-45B28B1FCFD6}"/>
              </a:ext>
            </a:extLst>
          </xdr:cNvPr>
          <xdr:cNvCxnSpPr/>
        </xdr:nvCxnSpPr>
        <xdr:spPr>
          <a:xfrm flipV="1">
            <a:off x="3810000" y="390525"/>
            <a:ext cx="762000" cy="36195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10</xdr:col>
      <xdr:colOff>761999</xdr:colOff>
      <xdr:row>8</xdr:row>
      <xdr:rowOff>15875</xdr:rowOff>
    </xdr:from>
    <xdr:to>
      <xdr:col>12</xdr:col>
      <xdr:colOff>419099</xdr:colOff>
      <xdr:row>9</xdr:row>
      <xdr:rowOff>130173</xdr:rowOff>
    </xdr:to>
    <xdr:grpSp>
      <xdr:nvGrpSpPr>
        <xdr:cNvPr id="13" name="Gruppieren 12">
          <a:extLst>
            <a:ext uri="{FF2B5EF4-FFF2-40B4-BE49-F238E27FC236}">
              <a16:creationId xmlns:a16="http://schemas.microsoft.com/office/drawing/2014/main" id="{DE15AEB1-891C-4910-B031-7BC871FE9C28}"/>
            </a:ext>
          </a:extLst>
        </xdr:cNvPr>
        <xdr:cNvGrpSpPr/>
      </xdr:nvGrpSpPr>
      <xdr:grpSpPr>
        <a:xfrm rot="10800000" flipV="1">
          <a:off x="7219949" y="1539875"/>
          <a:ext cx="1181100" cy="304798"/>
          <a:chOff x="3090000" y="390525"/>
          <a:chExt cx="2202000" cy="361950"/>
        </a:xfrm>
      </xdr:grpSpPr>
      <xdr:cxnSp macro="">
        <xdr:nvCxnSpPr>
          <xdr:cNvPr id="14" name="Gerader Verbinder 13">
            <a:extLst>
              <a:ext uri="{FF2B5EF4-FFF2-40B4-BE49-F238E27FC236}">
                <a16:creationId xmlns:a16="http://schemas.microsoft.com/office/drawing/2014/main" id="{7A330085-A089-EA39-FF1B-69B316DFC33F}"/>
              </a:ext>
            </a:extLst>
          </xdr:cNvPr>
          <xdr:cNvCxnSpPr/>
        </xdr:nvCxnSpPr>
        <xdr:spPr>
          <a:xfrm>
            <a:off x="3090000" y="752475"/>
            <a:ext cx="7200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" name="Gerader Verbinder 14">
            <a:extLst>
              <a:ext uri="{FF2B5EF4-FFF2-40B4-BE49-F238E27FC236}">
                <a16:creationId xmlns:a16="http://schemas.microsoft.com/office/drawing/2014/main" id="{7D1DD87F-DC40-A715-1316-BA26456D81EB}"/>
              </a:ext>
            </a:extLst>
          </xdr:cNvPr>
          <xdr:cNvCxnSpPr/>
        </xdr:nvCxnSpPr>
        <xdr:spPr>
          <a:xfrm>
            <a:off x="4572000" y="390525"/>
            <a:ext cx="7200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" name="Gerader Verbinder 15">
            <a:extLst>
              <a:ext uri="{FF2B5EF4-FFF2-40B4-BE49-F238E27FC236}">
                <a16:creationId xmlns:a16="http://schemas.microsoft.com/office/drawing/2014/main" id="{75FD6B11-F5E3-CB8E-E16E-5B05664B5B0D}"/>
              </a:ext>
            </a:extLst>
          </xdr:cNvPr>
          <xdr:cNvCxnSpPr/>
        </xdr:nvCxnSpPr>
        <xdr:spPr>
          <a:xfrm flipV="1">
            <a:off x="3810000" y="390525"/>
            <a:ext cx="762000" cy="36195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10</xdr:col>
      <xdr:colOff>761999</xdr:colOff>
      <xdr:row>11</xdr:row>
      <xdr:rowOff>146050</xdr:rowOff>
    </xdr:from>
    <xdr:to>
      <xdr:col>11</xdr:col>
      <xdr:colOff>523874</xdr:colOff>
      <xdr:row>12</xdr:row>
      <xdr:rowOff>146048</xdr:rowOff>
    </xdr:to>
    <xdr:grpSp>
      <xdr:nvGrpSpPr>
        <xdr:cNvPr id="17" name="Gruppieren 16">
          <a:extLst>
            <a:ext uri="{FF2B5EF4-FFF2-40B4-BE49-F238E27FC236}">
              <a16:creationId xmlns:a16="http://schemas.microsoft.com/office/drawing/2014/main" id="{5AF195A8-C416-421C-811E-132AFCDBD47A}"/>
            </a:ext>
          </a:extLst>
        </xdr:cNvPr>
        <xdr:cNvGrpSpPr/>
      </xdr:nvGrpSpPr>
      <xdr:grpSpPr>
        <a:xfrm rot="10800000" flipH="1" flipV="1">
          <a:off x="7219949" y="2241550"/>
          <a:ext cx="523875" cy="190498"/>
          <a:chOff x="3090000" y="390525"/>
          <a:chExt cx="2202000" cy="361950"/>
        </a:xfrm>
      </xdr:grpSpPr>
      <xdr:cxnSp macro="">
        <xdr:nvCxnSpPr>
          <xdr:cNvPr id="18" name="Gerader Verbinder 17">
            <a:extLst>
              <a:ext uri="{FF2B5EF4-FFF2-40B4-BE49-F238E27FC236}">
                <a16:creationId xmlns:a16="http://schemas.microsoft.com/office/drawing/2014/main" id="{B57A9C00-432D-9E1E-C2C9-1F292E889CCF}"/>
              </a:ext>
            </a:extLst>
          </xdr:cNvPr>
          <xdr:cNvCxnSpPr/>
        </xdr:nvCxnSpPr>
        <xdr:spPr>
          <a:xfrm>
            <a:off x="3090000" y="752475"/>
            <a:ext cx="7200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" name="Gerader Verbinder 18">
            <a:extLst>
              <a:ext uri="{FF2B5EF4-FFF2-40B4-BE49-F238E27FC236}">
                <a16:creationId xmlns:a16="http://schemas.microsoft.com/office/drawing/2014/main" id="{DB55C140-C852-A9B9-9959-B5431E40BAF6}"/>
              </a:ext>
            </a:extLst>
          </xdr:cNvPr>
          <xdr:cNvCxnSpPr/>
        </xdr:nvCxnSpPr>
        <xdr:spPr>
          <a:xfrm>
            <a:off x="4572000" y="390525"/>
            <a:ext cx="7200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" name="Gerader Verbinder 19">
            <a:extLst>
              <a:ext uri="{FF2B5EF4-FFF2-40B4-BE49-F238E27FC236}">
                <a16:creationId xmlns:a16="http://schemas.microsoft.com/office/drawing/2014/main" id="{F005D8D2-AE05-85E5-FA6E-6EC502133139}"/>
              </a:ext>
            </a:extLst>
          </xdr:cNvPr>
          <xdr:cNvCxnSpPr/>
        </xdr:nvCxnSpPr>
        <xdr:spPr>
          <a:xfrm flipV="1">
            <a:off x="3810000" y="390525"/>
            <a:ext cx="762000" cy="36195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10</xdr:col>
      <xdr:colOff>761999</xdr:colOff>
      <xdr:row>14</xdr:row>
      <xdr:rowOff>161925</xdr:rowOff>
    </xdr:from>
    <xdr:to>
      <xdr:col>14</xdr:col>
      <xdr:colOff>295274</xdr:colOff>
      <xdr:row>18</xdr:row>
      <xdr:rowOff>114298</xdr:rowOff>
    </xdr:to>
    <xdr:grpSp>
      <xdr:nvGrpSpPr>
        <xdr:cNvPr id="21" name="Gruppieren 20">
          <a:extLst>
            <a:ext uri="{FF2B5EF4-FFF2-40B4-BE49-F238E27FC236}">
              <a16:creationId xmlns:a16="http://schemas.microsoft.com/office/drawing/2014/main" id="{EDD86626-E413-4069-80DA-8F9F81632AE3}"/>
            </a:ext>
          </a:extLst>
        </xdr:cNvPr>
        <xdr:cNvGrpSpPr/>
      </xdr:nvGrpSpPr>
      <xdr:grpSpPr>
        <a:xfrm rot="10800000" flipH="1" flipV="1">
          <a:off x="7219949" y="2828925"/>
          <a:ext cx="2581275" cy="714373"/>
          <a:chOff x="3090000" y="390525"/>
          <a:chExt cx="2202000" cy="361950"/>
        </a:xfrm>
      </xdr:grpSpPr>
      <xdr:cxnSp macro="">
        <xdr:nvCxnSpPr>
          <xdr:cNvPr id="22" name="Gerader Verbinder 21">
            <a:extLst>
              <a:ext uri="{FF2B5EF4-FFF2-40B4-BE49-F238E27FC236}">
                <a16:creationId xmlns:a16="http://schemas.microsoft.com/office/drawing/2014/main" id="{46B8B6D4-919C-6A70-13BB-BF46C4100355}"/>
              </a:ext>
            </a:extLst>
          </xdr:cNvPr>
          <xdr:cNvCxnSpPr/>
        </xdr:nvCxnSpPr>
        <xdr:spPr>
          <a:xfrm>
            <a:off x="3090000" y="752475"/>
            <a:ext cx="7200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3" name="Gerader Verbinder 22">
            <a:extLst>
              <a:ext uri="{FF2B5EF4-FFF2-40B4-BE49-F238E27FC236}">
                <a16:creationId xmlns:a16="http://schemas.microsoft.com/office/drawing/2014/main" id="{D74AD8E7-1A5F-9E44-62F6-20D147E9C1F7}"/>
              </a:ext>
            </a:extLst>
          </xdr:cNvPr>
          <xdr:cNvCxnSpPr/>
        </xdr:nvCxnSpPr>
        <xdr:spPr>
          <a:xfrm>
            <a:off x="4572000" y="390525"/>
            <a:ext cx="720000" cy="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" name="Gerader Verbinder 23">
            <a:extLst>
              <a:ext uri="{FF2B5EF4-FFF2-40B4-BE49-F238E27FC236}">
                <a16:creationId xmlns:a16="http://schemas.microsoft.com/office/drawing/2014/main" id="{B71ED875-DA40-B249-F3BF-01F9A053690D}"/>
              </a:ext>
            </a:extLst>
          </xdr:cNvPr>
          <xdr:cNvCxnSpPr/>
        </xdr:nvCxnSpPr>
        <xdr:spPr>
          <a:xfrm flipV="1">
            <a:off x="3810000" y="390525"/>
            <a:ext cx="762000" cy="361950"/>
          </a:xfrm>
          <a:prstGeom prst="line">
            <a:avLst/>
          </a:prstGeom>
          <a:ln w="12700">
            <a:solidFill>
              <a:sysClr val="windowText" lastClr="000000"/>
            </a:solidFill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FFA15-E7C0-4C6B-A09E-08B847C8CF6B}">
  <sheetPr codeName="Tabelle1">
    <tabColor theme="5"/>
    <pageSetUpPr fitToPage="1"/>
  </sheetPr>
  <dimension ref="B1:Q36"/>
  <sheetViews>
    <sheetView showGridLines="0" showRowColHeaders="0" tabSelected="1" workbookViewId="0">
      <selection activeCell="N16" sqref="N16"/>
    </sheetView>
  </sheetViews>
  <sheetFormatPr baseColWidth="10" defaultRowHeight="15" x14ac:dyDescent="0.25"/>
  <cols>
    <col min="2" max="2" width="2.7109375" customWidth="1"/>
    <col min="3" max="3" width="2.7109375" bestFit="1" customWidth="1"/>
    <col min="4" max="4" width="2.7109375" customWidth="1"/>
    <col min="5" max="5" width="33.7109375" customWidth="1"/>
    <col min="7" max="7" width="14.5703125" bestFit="1" customWidth="1"/>
    <col min="8" max="11" width="2.7109375" customWidth="1"/>
    <col min="12" max="12" width="33.7109375" customWidth="1"/>
    <col min="14" max="14" width="14.5703125" bestFit="1" customWidth="1"/>
    <col min="15" max="15" width="2.7109375" customWidth="1"/>
  </cols>
  <sheetData>
    <row r="1" spans="2:17" x14ac:dyDescent="0.25">
      <c r="C1" s="25"/>
      <c r="D1" s="25"/>
      <c r="E1" s="25"/>
      <c r="Q1" s="26" t="s">
        <v>34</v>
      </c>
    </row>
    <row r="2" spans="2:17" x14ac:dyDescent="0.25">
      <c r="C2" s="25"/>
      <c r="D2" s="25"/>
      <c r="E2" s="25"/>
      <c r="Q2" s="25" t="s">
        <v>41</v>
      </c>
    </row>
    <row r="3" spans="2:17" x14ac:dyDescent="0.25">
      <c r="C3" s="25"/>
      <c r="D3" s="25"/>
      <c r="E3" s="25"/>
      <c r="Q3" s="25" t="s">
        <v>42</v>
      </c>
    </row>
    <row r="4" spans="2:17" x14ac:dyDescent="0.25">
      <c r="C4" s="25"/>
      <c r="D4" s="25"/>
      <c r="E4" s="25"/>
      <c r="Q4" s="25" t="s">
        <v>43</v>
      </c>
    </row>
    <row r="5" spans="2:17" x14ac:dyDescent="0.25">
      <c r="C5" s="25"/>
      <c r="D5" s="25"/>
      <c r="E5" s="25"/>
      <c r="Q5" s="25" t="s">
        <v>44</v>
      </c>
    </row>
    <row r="6" spans="2:17" x14ac:dyDescent="0.25">
      <c r="C6" s="25"/>
      <c r="D6" s="25"/>
      <c r="E6" s="25"/>
      <c r="Q6" s="25" t="s">
        <v>35</v>
      </c>
    </row>
    <row r="7" spans="2:17" ht="20.100000000000001" customHeight="1" x14ac:dyDescent="0.25">
      <c r="C7" s="44" t="s">
        <v>65</v>
      </c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</row>
    <row r="8" spans="2:17" s="5" customFormat="1" ht="20.100000000000001" customHeight="1" x14ac:dyDescent="0.25">
      <c r="B8" s="2" t="s">
        <v>7</v>
      </c>
      <c r="C8" s="2"/>
      <c r="D8" s="3"/>
      <c r="E8" s="3" t="str">
        <f ca="1">"Bilanz der Duisdorfer BüroKonzept KG zum 31. Dezember 20"&amp;TEXT(TODAY(), "JJ")</f>
        <v>Bilanz der Duisdorfer BüroKonzept KG zum 31. Dezember 2026</v>
      </c>
      <c r="F8" s="3"/>
      <c r="G8" s="3"/>
      <c r="H8" s="3"/>
      <c r="I8" s="3"/>
      <c r="J8" s="3"/>
      <c r="K8" s="3"/>
      <c r="L8" s="3"/>
      <c r="M8" s="3"/>
      <c r="N8" s="3"/>
      <c r="O8" s="4" t="s">
        <v>9</v>
      </c>
    </row>
    <row r="9" spans="2:17" ht="5.0999999999999996" customHeight="1" x14ac:dyDescent="0.25">
      <c r="I9" s="6"/>
      <c r="O9" s="7"/>
    </row>
    <row r="10" spans="2:17" x14ac:dyDescent="0.25">
      <c r="C10" t="s">
        <v>0</v>
      </c>
      <c r="D10" s="43" t="s">
        <v>1</v>
      </c>
      <c r="E10" s="43"/>
      <c r="I10" s="9"/>
      <c r="J10" t="s">
        <v>0</v>
      </c>
      <c r="K10" t="s">
        <v>3</v>
      </c>
      <c r="N10" s="10">
        <v>340000</v>
      </c>
    </row>
    <row r="11" spans="2:17" x14ac:dyDescent="0.25">
      <c r="D11" t="s">
        <v>10</v>
      </c>
      <c r="E11" t="s">
        <v>38</v>
      </c>
      <c r="G11" s="10">
        <v>1070000</v>
      </c>
      <c r="H11" s="11"/>
      <c r="I11" s="12"/>
      <c r="N11" s="13"/>
    </row>
    <row r="12" spans="2:17" x14ac:dyDescent="0.25">
      <c r="D12" s="14" t="s">
        <v>11</v>
      </c>
      <c r="E12" t="s">
        <v>33</v>
      </c>
      <c r="G12" s="10">
        <v>850000</v>
      </c>
      <c r="H12" s="11"/>
      <c r="I12" s="12"/>
      <c r="J12" t="s">
        <v>4</v>
      </c>
      <c r="K12" t="s">
        <v>5</v>
      </c>
      <c r="N12" s="13"/>
    </row>
    <row r="13" spans="2:17" x14ac:dyDescent="0.25">
      <c r="G13" s="13"/>
      <c r="H13" s="11"/>
      <c r="I13" s="12"/>
      <c r="K13" t="s">
        <v>10</v>
      </c>
      <c r="L13" s="8" t="s">
        <v>12</v>
      </c>
      <c r="M13" s="8"/>
      <c r="N13" s="23">
        <v>920000</v>
      </c>
    </row>
    <row r="14" spans="2:17" x14ac:dyDescent="0.25">
      <c r="D14" t="s">
        <v>13</v>
      </c>
      <c r="E14" t="s">
        <v>39</v>
      </c>
      <c r="G14" s="10">
        <v>333000</v>
      </c>
      <c r="H14" s="11"/>
      <c r="I14" s="12"/>
      <c r="K14" t="s">
        <v>11</v>
      </c>
      <c r="L14" s="8" t="s">
        <v>14</v>
      </c>
      <c r="M14" s="8"/>
      <c r="N14" s="23">
        <v>1100000</v>
      </c>
    </row>
    <row r="15" spans="2:17" x14ac:dyDescent="0.25">
      <c r="G15" s="13"/>
      <c r="H15" s="11"/>
      <c r="I15" s="12"/>
      <c r="K15" t="s">
        <v>13</v>
      </c>
      <c r="L15" s="43" t="s">
        <v>15</v>
      </c>
      <c r="M15" s="43"/>
      <c r="N15" s="23">
        <v>450000</v>
      </c>
    </row>
    <row r="16" spans="2:17" x14ac:dyDescent="0.25">
      <c r="G16" s="13"/>
      <c r="H16" s="11"/>
      <c r="I16" s="12"/>
    </row>
    <row r="17" spans="3:17" x14ac:dyDescent="0.25">
      <c r="C17" t="s">
        <v>4</v>
      </c>
      <c r="D17" s="43" t="s">
        <v>2</v>
      </c>
      <c r="E17" s="43"/>
      <c r="G17" s="13"/>
      <c r="H17" s="11"/>
      <c r="I17" s="12"/>
      <c r="N17" s="11"/>
    </row>
    <row r="18" spans="3:17" x14ac:dyDescent="0.25">
      <c r="D18" t="s">
        <v>10</v>
      </c>
      <c r="E18" s="43" t="s">
        <v>36</v>
      </c>
      <c r="F18" s="43"/>
      <c r="G18" s="23">
        <v>26000</v>
      </c>
      <c r="H18" s="11"/>
      <c r="I18" s="12"/>
      <c r="N18" s="11"/>
    </row>
    <row r="19" spans="3:17" x14ac:dyDescent="0.25">
      <c r="D19" t="s">
        <v>11</v>
      </c>
      <c r="E19" s="43" t="s">
        <v>40</v>
      </c>
      <c r="F19" s="43"/>
      <c r="G19" s="23">
        <v>8500</v>
      </c>
      <c r="H19" s="11"/>
      <c r="I19" s="12"/>
      <c r="N19" s="11"/>
    </row>
    <row r="20" spans="3:17" x14ac:dyDescent="0.25">
      <c r="D20" t="s">
        <v>13</v>
      </c>
      <c r="E20" s="43" t="s">
        <v>17</v>
      </c>
      <c r="F20" s="43"/>
      <c r="G20" s="23">
        <v>2200</v>
      </c>
      <c r="H20" s="11"/>
      <c r="I20" s="12"/>
      <c r="N20" s="11"/>
    </row>
    <row r="21" spans="3:17" x14ac:dyDescent="0.25">
      <c r="D21" t="s">
        <v>18</v>
      </c>
      <c r="E21" s="43" t="s">
        <v>19</v>
      </c>
      <c r="F21" s="43"/>
      <c r="G21" s="23">
        <v>67000</v>
      </c>
      <c r="H21" s="11"/>
      <c r="I21" s="12"/>
      <c r="N21" s="11"/>
    </row>
    <row r="22" spans="3:17" x14ac:dyDescent="0.25">
      <c r="D22" t="s">
        <v>20</v>
      </c>
      <c r="E22" s="43" t="s">
        <v>21</v>
      </c>
      <c r="F22" s="43"/>
      <c r="G22" s="23">
        <v>102000</v>
      </c>
      <c r="H22" s="11"/>
      <c r="I22" s="12"/>
      <c r="N22" s="11"/>
    </row>
    <row r="23" spans="3:17" x14ac:dyDescent="0.25">
      <c r="D23" t="s">
        <v>22</v>
      </c>
      <c r="E23" s="43" t="s">
        <v>23</v>
      </c>
      <c r="F23" s="43"/>
      <c r="G23" s="23">
        <v>137000</v>
      </c>
      <c r="H23" s="11"/>
      <c r="I23" s="12"/>
      <c r="N23" s="11"/>
    </row>
    <row r="24" spans="3:17" x14ac:dyDescent="0.25">
      <c r="D24" t="s">
        <v>24</v>
      </c>
      <c r="E24" s="43" t="s">
        <v>25</v>
      </c>
      <c r="F24" s="43"/>
      <c r="G24" s="23">
        <v>66600</v>
      </c>
      <c r="H24" s="11"/>
      <c r="I24" s="12"/>
      <c r="N24" s="11"/>
    </row>
    <row r="25" spans="3:17" x14ac:dyDescent="0.25">
      <c r="D25" t="s">
        <v>26</v>
      </c>
      <c r="E25" s="43" t="s">
        <v>27</v>
      </c>
      <c r="F25" s="43"/>
      <c r="G25" s="23">
        <v>1900</v>
      </c>
      <c r="H25" s="11"/>
      <c r="I25" s="12"/>
      <c r="N25" s="11"/>
    </row>
    <row r="26" spans="3:17" x14ac:dyDescent="0.25">
      <c r="D26" t="s">
        <v>28</v>
      </c>
      <c r="E26" s="43" t="s">
        <v>29</v>
      </c>
      <c r="F26" s="43"/>
      <c r="G26" s="23">
        <v>145800</v>
      </c>
      <c r="H26" s="11"/>
      <c r="I26" s="12"/>
      <c r="N26" s="11"/>
    </row>
    <row r="27" spans="3:17" ht="5.0999999999999996" customHeight="1" x14ac:dyDescent="0.25">
      <c r="C27" s="1"/>
      <c r="D27" s="1"/>
      <c r="E27" s="8"/>
      <c r="F27" s="8"/>
      <c r="G27" s="13"/>
      <c r="H27" s="11"/>
      <c r="I27" s="12"/>
      <c r="N27" s="15"/>
    </row>
    <row r="28" spans="3:17" ht="15.75" thickBot="1" x14ac:dyDescent="0.3">
      <c r="C28" s="16"/>
      <c r="D28" s="16"/>
      <c r="G28" s="20">
        <f>SUM(G11:G26)</f>
        <v>2810000</v>
      </c>
      <c r="H28" s="17"/>
      <c r="I28" s="18"/>
      <c r="J28" s="19"/>
      <c r="N28" s="20">
        <f>SUM(N10:N15)</f>
        <v>2810000</v>
      </c>
      <c r="Q28" s="24"/>
    </row>
    <row r="29" spans="3:17" ht="15.75" thickTop="1" x14ac:dyDescent="0.25"/>
    <row r="34" spans="3:12" x14ac:dyDescent="0.25">
      <c r="C34" t="s">
        <v>30</v>
      </c>
      <c r="E34" s="21">
        <f ca="1">TODAY()</f>
        <v>46301</v>
      </c>
    </row>
    <row r="36" spans="3:12" x14ac:dyDescent="0.25">
      <c r="G36" s="22" t="s">
        <v>31</v>
      </c>
      <c r="L36" s="22" t="s">
        <v>32</v>
      </c>
    </row>
  </sheetData>
  <mergeCells count="13">
    <mergeCell ref="E26:F26"/>
    <mergeCell ref="E20:F20"/>
    <mergeCell ref="E21:F21"/>
    <mergeCell ref="E22:F22"/>
    <mergeCell ref="E23:F23"/>
    <mergeCell ref="E24:F24"/>
    <mergeCell ref="E25:F25"/>
    <mergeCell ref="E19:F19"/>
    <mergeCell ref="C7:N7"/>
    <mergeCell ref="D10:E10"/>
    <mergeCell ref="L15:M15"/>
    <mergeCell ref="D17:E17"/>
    <mergeCell ref="E18:F18"/>
  </mergeCells>
  <hyperlinks>
    <hyperlink ref="B1:E1" location="Ausgangsbilanz!B1" display="Ausgangsbilanz" xr:uid="{BEF02E5C-E570-4334-B614-76D773E7EBBA}"/>
    <hyperlink ref="B2:E2" location="'Bilanz nach Beleg 1'!B2" display="Bilanz nach Beleg 1" xr:uid="{70A1EC46-5C80-489E-B70A-C0754DE3D51E}"/>
    <hyperlink ref="B3:E3" location="'Bilanz nach Beleg 1+2'!B3" display="Bilanz nach Beleg 1+2" xr:uid="{9376AC29-C7E2-4A61-84AB-56C04760691A}"/>
    <hyperlink ref="B4:E4" location="'Bilanz nach Beleg 1, 2+3'!B4" display="Bilanz nach Beleg 1, 2+3" xr:uid="{D413450C-4E85-4E53-AE73-CCD7B0A18032}"/>
    <hyperlink ref="B5:E5" location="'Bilanz nach Beleg 1, 2, 3+4'!B5" display="Bilanz nach Beleg 1, 2, 3+4" xr:uid="{C3882E71-1A17-4318-822E-1159A8F51C5E}"/>
    <hyperlink ref="B6:E6" location="Schlussbilanz!B6" display="Schlussbilanz" xr:uid="{B00CF78C-9519-4A61-A3EE-805C96723E47}"/>
    <hyperlink ref="Q1" location="Ausgangsbilanz!B1" display="Ausgangsbilanz" xr:uid="{89269D17-3BE5-44F3-8A25-65AC5C5CED83}"/>
    <hyperlink ref="Q2" location="'Bilanz nach Beleg 1'!B2" display="Bilanz nach Beleg 1" xr:uid="{43595DD7-4C79-44E5-928C-6B688AF54018}"/>
  </hyperlinks>
  <pageMargins left="0.7" right="0.7" top="0.78740157499999996" bottom="0.78740157499999996" header="0.3" footer="0.3"/>
  <pageSetup paperSize="9" scale="75" fitToHeight="0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3BC365-A2CF-4CBA-9399-B1062FC78727}">
  <sheetPr codeName="Tabelle2">
    <tabColor theme="5"/>
    <pageSetUpPr fitToPage="1"/>
  </sheetPr>
  <dimension ref="B1:Q36"/>
  <sheetViews>
    <sheetView showGridLines="0" showRowColHeaders="0" workbookViewId="0">
      <selection activeCell="Q1" sqref="Q1:Q6"/>
    </sheetView>
  </sheetViews>
  <sheetFormatPr baseColWidth="10" defaultRowHeight="15" x14ac:dyDescent="0.25"/>
  <cols>
    <col min="2" max="2" width="2.7109375" customWidth="1"/>
    <col min="3" max="3" width="2.7109375" bestFit="1" customWidth="1"/>
    <col min="4" max="4" width="2.7109375" customWidth="1"/>
    <col min="5" max="5" width="33.7109375" customWidth="1"/>
    <col min="7" max="7" width="14.5703125" bestFit="1" customWidth="1"/>
    <col min="8" max="11" width="2.7109375" customWidth="1"/>
    <col min="12" max="12" width="33.7109375" customWidth="1"/>
    <col min="14" max="14" width="14.5703125" bestFit="1" customWidth="1"/>
    <col min="15" max="15" width="2.7109375" customWidth="1"/>
  </cols>
  <sheetData>
    <row r="1" spans="2:17" x14ac:dyDescent="0.25">
      <c r="C1" s="25"/>
      <c r="D1" s="25"/>
      <c r="E1" s="25"/>
      <c r="Q1" s="25" t="s">
        <v>34</v>
      </c>
    </row>
    <row r="2" spans="2:17" x14ac:dyDescent="0.25">
      <c r="C2" s="25"/>
      <c r="D2" s="25"/>
      <c r="E2" s="25"/>
      <c r="Q2" s="26" t="s">
        <v>41</v>
      </c>
    </row>
    <row r="3" spans="2:17" x14ac:dyDescent="0.25">
      <c r="C3" s="25"/>
      <c r="D3" s="25"/>
      <c r="E3" s="25"/>
      <c r="Q3" s="25" t="s">
        <v>42</v>
      </c>
    </row>
    <row r="4" spans="2:17" x14ac:dyDescent="0.25">
      <c r="C4" s="25"/>
      <c r="D4" s="25"/>
      <c r="E4" s="25"/>
      <c r="Q4" s="25" t="s">
        <v>43</v>
      </c>
    </row>
    <row r="5" spans="2:17" x14ac:dyDescent="0.25">
      <c r="C5" s="25"/>
      <c r="D5" s="25"/>
      <c r="E5" s="25"/>
      <c r="Q5" s="25" t="s">
        <v>44</v>
      </c>
    </row>
    <row r="6" spans="2:17" x14ac:dyDescent="0.25">
      <c r="C6" s="25"/>
      <c r="D6" s="25"/>
      <c r="E6" s="25"/>
      <c r="Q6" s="25" t="s">
        <v>35</v>
      </c>
    </row>
    <row r="7" spans="2:17" ht="20.100000000000001" customHeight="1" x14ac:dyDescent="0.25">
      <c r="C7" s="44" t="s">
        <v>6</v>
      </c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</row>
    <row r="8" spans="2:17" s="5" customFormat="1" ht="20.100000000000001" customHeight="1" x14ac:dyDescent="0.25">
      <c r="B8" s="2" t="s">
        <v>7</v>
      </c>
      <c r="C8" s="2"/>
      <c r="D8" s="3"/>
      <c r="E8" s="3" t="s">
        <v>8</v>
      </c>
      <c r="F8" s="3"/>
      <c r="G8" s="3"/>
      <c r="H8" s="3"/>
      <c r="I8" s="3"/>
      <c r="J8" s="3"/>
      <c r="K8" s="3"/>
      <c r="L8" s="3"/>
      <c r="M8" s="3"/>
      <c r="N8" s="3"/>
      <c r="O8" s="4" t="s">
        <v>9</v>
      </c>
    </row>
    <row r="9" spans="2:17" ht="5.0999999999999996" customHeight="1" x14ac:dyDescent="0.25">
      <c r="I9" s="6"/>
      <c r="O9" s="7"/>
    </row>
    <row r="10" spans="2:17" x14ac:dyDescent="0.25">
      <c r="C10" t="s">
        <v>0</v>
      </c>
      <c r="D10" s="43" t="s">
        <v>1</v>
      </c>
      <c r="E10" s="43"/>
      <c r="I10" s="9"/>
      <c r="J10" t="s">
        <v>0</v>
      </c>
      <c r="K10" t="s">
        <v>3</v>
      </c>
      <c r="N10" s="10">
        <v>340000</v>
      </c>
    </row>
    <row r="11" spans="2:17" x14ac:dyDescent="0.25">
      <c r="D11" t="s">
        <v>10</v>
      </c>
      <c r="E11" t="s">
        <v>38</v>
      </c>
      <c r="G11" s="10">
        <f>Ausgangsbilanz!G11</f>
        <v>1070000</v>
      </c>
      <c r="H11" s="11"/>
      <c r="I11" s="12"/>
      <c r="N11" s="13"/>
    </row>
    <row r="12" spans="2:17" x14ac:dyDescent="0.25">
      <c r="D12" s="14" t="s">
        <v>11</v>
      </c>
      <c r="E12" t="s">
        <v>33</v>
      </c>
      <c r="G12" s="10">
        <f>Ausgangsbilanz!G12</f>
        <v>850000</v>
      </c>
      <c r="H12" s="11"/>
      <c r="I12" s="12"/>
      <c r="J12" t="s">
        <v>4</v>
      </c>
      <c r="K12" t="s">
        <v>5</v>
      </c>
      <c r="N12" s="13"/>
    </row>
    <row r="13" spans="2:17" x14ac:dyDescent="0.25">
      <c r="G13" s="13"/>
      <c r="H13" s="11"/>
      <c r="I13" s="12"/>
      <c r="K13" t="s">
        <v>10</v>
      </c>
      <c r="L13" s="8" t="s">
        <v>12</v>
      </c>
      <c r="M13" s="8"/>
      <c r="N13" s="23"/>
    </row>
    <row r="14" spans="2:17" x14ac:dyDescent="0.25">
      <c r="D14" t="s">
        <v>13</v>
      </c>
      <c r="E14" t="s">
        <v>39</v>
      </c>
      <c r="G14" s="10">
        <f>Ausgangsbilanz!G14</f>
        <v>333000</v>
      </c>
      <c r="H14" s="11"/>
      <c r="I14" s="12"/>
      <c r="K14" t="s">
        <v>11</v>
      </c>
      <c r="L14" s="8" t="s">
        <v>14</v>
      </c>
      <c r="M14" s="8"/>
      <c r="N14" s="23"/>
    </row>
    <row r="15" spans="2:17" x14ac:dyDescent="0.25">
      <c r="G15" s="13"/>
      <c r="H15" s="11"/>
      <c r="I15" s="12"/>
      <c r="K15" t="s">
        <v>13</v>
      </c>
      <c r="L15" s="43" t="s">
        <v>15</v>
      </c>
      <c r="M15" s="43"/>
      <c r="N15" s="23"/>
    </row>
    <row r="16" spans="2:17" x14ac:dyDescent="0.25">
      <c r="G16" s="13"/>
      <c r="H16" s="11"/>
      <c r="I16" s="12"/>
    </row>
    <row r="17" spans="3:14" x14ac:dyDescent="0.25">
      <c r="C17" t="s">
        <v>4</v>
      </c>
      <c r="D17" s="43" t="s">
        <v>2</v>
      </c>
      <c r="E17" s="43"/>
      <c r="G17" s="13"/>
      <c r="H17" s="11"/>
      <c r="I17" s="12"/>
      <c r="N17" s="11"/>
    </row>
    <row r="18" spans="3:14" x14ac:dyDescent="0.25">
      <c r="D18" t="s">
        <v>10</v>
      </c>
      <c r="E18" s="43" t="s">
        <v>36</v>
      </c>
      <c r="F18" s="43"/>
      <c r="G18" s="23"/>
      <c r="H18" s="11"/>
      <c r="I18" s="12"/>
      <c r="N18" s="11"/>
    </row>
    <row r="19" spans="3:14" x14ac:dyDescent="0.25">
      <c r="D19" t="s">
        <v>11</v>
      </c>
      <c r="E19" s="43" t="s">
        <v>16</v>
      </c>
      <c r="F19" s="43"/>
      <c r="G19" s="23"/>
      <c r="H19" s="11"/>
      <c r="I19" s="12"/>
      <c r="N19" s="11"/>
    </row>
    <row r="20" spans="3:14" x14ac:dyDescent="0.25">
      <c r="D20" t="s">
        <v>13</v>
      </c>
      <c r="E20" s="43" t="s">
        <v>17</v>
      </c>
      <c r="F20" s="43"/>
      <c r="G20" s="23"/>
      <c r="H20" s="11"/>
      <c r="I20" s="12"/>
      <c r="N20" s="11"/>
    </row>
    <row r="21" spans="3:14" x14ac:dyDescent="0.25">
      <c r="D21" t="s">
        <v>18</v>
      </c>
      <c r="E21" s="43" t="s">
        <v>19</v>
      </c>
      <c r="F21" s="43"/>
      <c r="G21" s="23"/>
      <c r="H21" s="11"/>
      <c r="I21" s="12"/>
      <c r="N21" s="11"/>
    </row>
    <row r="22" spans="3:14" x14ac:dyDescent="0.25">
      <c r="D22" t="s">
        <v>20</v>
      </c>
      <c r="E22" s="43" t="s">
        <v>21</v>
      </c>
      <c r="F22" s="43"/>
      <c r="G22" s="23"/>
      <c r="H22" s="11"/>
      <c r="I22" s="12"/>
      <c r="N22" s="11"/>
    </row>
    <row r="23" spans="3:14" x14ac:dyDescent="0.25">
      <c r="D23" t="s">
        <v>22</v>
      </c>
      <c r="E23" s="43" t="s">
        <v>23</v>
      </c>
      <c r="F23" s="43"/>
      <c r="G23" s="23"/>
      <c r="H23" s="11"/>
      <c r="I23" s="12"/>
      <c r="N23" s="11"/>
    </row>
    <row r="24" spans="3:14" x14ac:dyDescent="0.25">
      <c r="D24" t="s">
        <v>24</v>
      </c>
      <c r="E24" s="43" t="s">
        <v>25</v>
      </c>
      <c r="F24" s="43"/>
      <c r="G24" s="23"/>
      <c r="H24" s="11"/>
      <c r="I24" s="12"/>
      <c r="N24" s="11"/>
    </row>
    <row r="25" spans="3:14" x14ac:dyDescent="0.25">
      <c r="D25" t="s">
        <v>26</v>
      </c>
      <c r="E25" s="43" t="s">
        <v>27</v>
      </c>
      <c r="F25" s="43"/>
      <c r="G25" s="23"/>
      <c r="H25" s="11"/>
      <c r="I25" s="12"/>
      <c r="N25" s="11"/>
    </row>
    <row r="26" spans="3:14" x14ac:dyDescent="0.25">
      <c r="D26" t="s">
        <v>28</v>
      </c>
      <c r="E26" s="43" t="s">
        <v>29</v>
      </c>
      <c r="F26" s="43"/>
      <c r="G26" s="23"/>
      <c r="H26" s="11"/>
      <c r="I26" s="12"/>
      <c r="N26" s="11"/>
    </row>
    <row r="27" spans="3:14" ht="5.0999999999999996" customHeight="1" x14ac:dyDescent="0.25">
      <c r="C27" s="1"/>
      <c r="D27" s="1"/>
      <c r="E27" s="8"/>
      <c r="F27" s="8"/>
      <c r="G27" s="13"/>
      <c r="H27" s="11"/>
      <c r="I27" s="12"/>
      <c r="N27" s="15"/>
    </row>
    <row r="28" spans="3:14" ht="15.75" thickBot="1" x14ac:dyDescent="0.3">
      <c r="C28" s="16"/>
      <c r="D28" s="16"/>
      <c r="G28" s="20">
        <f>SUM(G11:G26)</f>
        <v>2253000</v>
      </c>
      <c r="H28" s="17"/>
      <c r="I28" s="18"/>
      <c r="J28" s="19"/>
      <c r="N28" s="20">
        <f>SUM(N10:N15)</f>
        <v>340000</v>
      </c>
    </row>
    <row r="29" spans="3:14" ht="15.75" thickTop="1" x14ac:dyDescent="0.25"/>
    <row r="34" spans="3:12" x14ac:dyDescent="0.25">
      <c r="C34" t="s">
        <v>30</v>
      </c>
      <c r="E34" s="21">
        <f ca="1">TODAY()</f>
        <v>46301</v>
      </c>
    </row>
    <row r="36" spans="3:12" x14ac:dyDescent="0.25">
      <c r="G36" s="22" t="s">
        <v>31</v>
      </c>
      <c r="L36" s="22" t="s">
        <v>32</v>
      </c>
    </row>
  </sheetData>
  <mergeCells count="13">
    <mergeCell ref="E26:F26"/>
    <mergeCell ref="E20:F20"/>
    <mergeCell ref="E21:F21"/>
    <mergeCell ref="E22:F22"/>
    <mergeCell ref="E23:F23"/>
    <mergeCell ref="E24:F24"/>
    <mergeCell ref="E25:F25"/>
    <mergeCell ref="E19:F19"/>
    <mergeCell ref="C7:N7"/>
    <mergeCell ref="D10:E10"/>
    <mergeCell ref="L15:M15"/>
    <mergeCell ref="D17:E17"/>
    <mergeCell ref="E18:F18"/>
  </mergeCells>
  <hyperlinks>
    <hyperlink ref="B1:E1" location="Ausgangsbilanz!B1" display="Ausgangsbilanz" xr:uid="{3740D2AC-FF8C-4183-ADB1-8A56BC1D65CD}"/>
    <hyperlink ref="B2:E2" location="'Bilanz nach Beleg 1'!B2" display="Bilanz nach Beleg 1" xr:uid="{46D9C70C-AA09-4F44-83E6-0F3CDB0B4B39}"/>
    <hyperlink ref="B3:E3" location="'Bilanz nach Beleg 1+2'!B3" display="Bilanz nach Beleg 1+2" xr:uid="{7782F4ED-A6DE-402B-AB91-BEC2A9871274}"/>
    <hyperlink ref="B4:E4" location="'Bilanz nach Beleg 1, 2+3'!B4" display="Bilanz nach Beleg 1, 2+3" xr:uid="{48186A60-907B-4113-A37B-478EA0B04571}"/>
    <hyperlink ref="B5:E5" location="'Bilanz nach Beleg 1, 2, 3+4'!B5" display="Bilanz nach Beleg 1, 2, 3+4" xr:uid="{6AA3F3F1-AD0B-47DD-A3F5-FF26D75C5BDB}"/>
    <hyperlink ref="B6:E6" location="Schlussbilanz!B6" display="Schlussbilanz" xr:uid="{3791D56D-0387-46B7-AB7C-EE60F806A1D7}"/>
    <hyperlink ref="Q1" location="Ausgangsbilanz!B1" display="Ausgangsbilanz" xr:uid="{EB9E7888-AEB1-4545-80B0-EEA6B204454A}"/>
    <hyperlink ref="Q2" location="'Bilanz nach Beleg 1'!B2" display="Bilanz nach Beleg 1" xr:uid="{6D583BC4-F06F-47DE-90B3-C48D3B67D5F2}"/>
  </hyperlinks>
  <pageMargins left="0.7" right="0.7" top="0.78740157499999996" bottom="0.78740157499999996" header="0.3" footer="0.3"/>
  <pageSetup paperSize="9" scale="75" fitToHeight="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CC54D-A27F-417D-8346-AA603BDCC466}">
  <sheetPr codeName="Tabelle3">
    <tabColor theme="5"/>
    <pageSetUpPr fitToPage="1"/>
  </sheetPr>
  <dimension ref="B1:Q36"/>
  <sheetViews>
    <sheetView showGridLines="0" showRowColHeaders="0" workbookViewId="0">
      <selection activeCell="Q1" sqref="Q1:Q6"/>
    </sheetView>
  </sheetViews>
  <sheetFormatPr baseColWidth="10" defaultRowHeight="15" x14ac:dyDescent="0.25"/>
  <cols>
    <col min="2" max="2" width="2.7109375" customWidth="1"/>
    <col min="3" max="3" width="2.7109375" bestFit="1" customWidth="1"/>
    <col min="4" max="4" width="2.7109375" customWidth="1"/>
    <col min="5" max="5" width="33.7109375" customWidth="1"/>
    <col min="7" max="7" width="14.5703125" bestFit="1" customWidth="1"/>
    <col min="8" max="11" width="2.7109375" customWidth="1"/>
    <col min="12" max="12" width="33.7109375" customWidth="1"/>
    <col min="14" max="14" width="14.5703125" bestFit="1" customWidth="1"/>
    <col min="15" max="15" width="2.7109375" customWidth="1"/>
  </cols>
  <sheetData>
    <row r="1" spans="2:17" x14ac:dyDescent="0.25">
      <c r="C1" s="25"/>
      <c r="D1" s="25"/>
      <c r="E1" s="25"/>
      <c r="Q1" s="25" t="s">
        <v>34</v>
      </c>
    </row>
    <row r="2" spans="2:17" x14ac:dyDescent="0.25">
      <c r="C2" s="25"/>
      <c r="D2" s="25"/>
      <c r="E2" s="25"/>
      <c r="Q2" s="25" t="s">
        <v>41</v>
      </c>
    </row>
    <row r="3" spans="2:17" x14ac:dyDescent="0.25">
      <c r="C3" s="25"/>
      <c r="D3" s="25"/>
      <c r="E3" s="25"/>
      <c r="Q3" s="26" t="s">
        <v>42</v>
      </c>
    </row>
    <row r="4" spans="2:17" x14ac:dyDescent="0.25">
      <c r="C4" s="25"/>
      <c r="D4" s="25"/>
      <c r="E4" s="25"/>
      <c r="Q4" s="25" t="s">
        <v>43</v>
      </c>
    </row>
    <row r="5" spans="2:17" x14ac:dyDescent="0.25">
      <c r="C5" s="25"/>
      <c r="D5" s="25"/>
      <c r="E5" s="25"/>
      <c r="Q5" s="25" t="s">
        <v>44</v>
      </c>
    </row>
    <row r="6" spans="2:17" x14ac:dyDescent="0.25">
      <c r="C6" s="25"/>
      <c r="D6" s="25"/>
      <c r="E6" s="25"/>
      <c r="Q6" s="25" t="s">
        <v>35</v>
      </c>
    </row>
    <row r="7" spans="2:17" ht="20.100000000000001" customHeight="1" x14ac:dyDescent="0.25">
      <c r="C7" s="44" t="s">
        <v>6</v>
      </c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</row>
    <row r="8" spans="2:17" s="5" customFormat="1" ht="20.100000000000001" customHeight="1" x14ac:dyDescent="0.25">
      <c r="B8" s="2" t="s">
        <v>7</v>
      </c>
      <c r="C8" s="2"/>
      <c r="D8" s="3"/>
      <c r="E8" s="3" t="s">
        <v>8</v>
      </c>
      <c r="F8" s="3"/>
      <c r="G8" s="3"/>
      <c r="H8" s="3"/>
      <c r="I8" s="3"/>
      <c r="J8" s="3"/>
      <c r="K8" s="3"/>
      <c r="L8" s="3"/>
      <c r="M8" s="3"/>
      <c r="N8" s="3"/>
      <c r="O8" s="4" t="s">
        <v>9</v>
      </c>
    </row>
    <row r="9" spans="2:17" ht="5.0999999999999996" customHeight="1" x14ac:dyDescent="0.25">
      <c r="I9" s="6"/>
      <c r="O9" s="7"/>
    </row>
    <row r="10" spans="2:17" x14ac:dyDescent="0.25">
      <c r="C10" t="s">
        <v>0</v>
      </c>
      <c r="D10" s="43" t="s">
        <v>1</v>
      </c>
      <c r="E10" s="43"/>
      <c r="I10" s="9"/>
      <c r="J10" t="s">
        <v>0</v>
      </c>
      <c r="K10" t="s">
        <v>3</v>
      </c>
      <c r="N10" s="10">
        <v>340000</v>
      </c>
    </row>
    <row r="11" spans="2:17" x14ac:dyDescent="0.25">
      <c r="D11" t="s">
        <v>10</v>
      </c>
      <c r="E11" t="s">
        <v>38</v>
      </c>
      <c r="G11" s="10">
        <f>Ausgangsbilanz!G11</f>
        <v>1070000</v>
      </c>
      <c r="H11" s="11"/>
      <c r="I11" s="12"/>
      <c r="N11" s="13"/>
    </row>
    <row r="12" spans="2:17" x14ac:dyDescent="0.25">
      <c r="D12" s="14" t="s">
        <v>11</v>
      </c>
      <c r="E12" t="s">
        <v>33</v>
      </c>
      <c r="G12" s="10">
        <f>Ausgangsbilanz!G12</f>
        <v>850000</v>
      </c>
      <c r="H12" s="11"/>
      <c r="I12" s="12"/>
      <c r="J12" t="s">
        <v>4</v>
      </c>
      <c r="K12" t="s">
        <v>5</v>
      </c>
      <c r="N12" s="13"/>
    </row>
    <row r="13" spans="2:17" x14ac:dyDescent="0.25">
      <c r="G13" s="13"/>
      <c r="H13" s="11"/>
      <c r="I13" s="12"/>
      <c r="K13" t="s">
        <v>10</v>
      </c>
      <c r="L13" s="8" t="s">
        <v>12</v>
      </c>
      <c r="M13" s="8"/>
      <c r="N13" s="23"/>
    </row>
    <row r="14" spans="2:17" x14ac:dyDescent="0.25">
      <c r="D14" t="s">
        <v>13</v>
      </c>
      <c r="E14" t="s">
        <v>39</v>
      </c>
      <c r="G14" s="10">
        <f>Ausgangsbilanz!G14</f>
        <v>333000</v>
      </c>
      <c r="H14" s="11"/>
      <c r="I14" s="12"/>
      <c r="K14" t="s">
        <v>11</v>
      </c>
      <c r="L14" s="8" t="s">
        <v>14</v>
      </c>
      <c r="M14" s="8"/>
      <c r="N14" s="23"/>
    </row>
    <row r="15" spans="2:17" x14ac:dyDescent="0.25">
      <c r="G15" s="13"/>
      <c r="H15" s="11"/>
      <c r="I15" s="12"/>
      <c r="K15" t="s">
        <v>13</v>
      </c>
      <c r="L15" s="43" t="s">
        <v>15</v>
      </c>
      <c r="M15" s="43"/>
      <c r="N15" s="23"/>
    </row>
    <row r="16" spans="2:17" x14ac:dyDescent="0.25">
      <c r="G16" s="13"/>
      <c r="H16" s="11"/>
      <c r="I16" s="12"/>
    </row>
    <row r="17" spans="3:14" x14ac:dyDescent="0.25">
      <c r="C17" t="s">
        <v>4</v>
      </c>
      <c r="D17" s="43" t="s">
        <v>2</v>
      </c>
      <c r="E17" s="43"/>
      <c r="G17" s="13"/>
      <c r="H17" s="11"/>
      <c r="I17" s="12"/>
      <c r="N17" s="11"/>
    </row>
    <row r="18" spans="3:14" x14ac:dyDescent="0.25">
      <c r="D18" t="s">
        <v>10</v>
      </c>
      <c r="E18" s="43" t="s">
        <v>36</v>
      </c>
      <c r="F18" s="43"/>
      <c r="G18" s="23"/>
      <c r="H18" s="11"/>
      <c r="I18" s="12"/>
      <c r="N18" s="11"/>
    </row>
    <row r="19" spans="3:14" x14ac:dyDescent="0.25">
      <c r="D19" t="s">
        <v>11</v>
      </c>
      <c r="E19" s="43" t="s">
        <v>16</v>
      </c>
      <c r="F19" s="43"/>
      <c r="G19" s="23"/>
      <c r="H19" s="11"/>
      <c r="I19" s="12"/>
      <c r="N19" s="11"/>
    </row>
    <row r="20" spans="3:14" x14ac:dyDescent="0.25">
      <c r="D20" t="s">
        <v>13</v>
      </c>
      <c r="E20" s="43" t="s">
        <v>17</v>
      </c>
      <c r="F20" s="43"/>
      <c r="G20" s="23"/>
      <c r="H20" s="11"/>
      <c r="I20" s="12"/>
      <c r="N20" s="11"/>
    </row>
    <row r="21" spans="3:14" x14ac:dyDescent="0.25">
      <c r="D21" t="s">
        <v>18</v>
      </c>
      <c r="E21" s="43" t="s">
        <v>19</v>
      </c>
      <c r="F21" s="43"/>
      <c r="G21" s="23"/>
      <c r="H21" s="11"/>
      <c r="I21" s="12"/>
      <c r="N21" s="11"/>
    </row>
    <row r="22" spans="3:14" x14ac:dyDescent="0.25">
      <c r="D22" t="s">
        <v>20</v>
      </c>
      <c r="E22" s="43" t="s">
        <v>21</v>
      </c>
      <c r="F22" s="43"/>
      <c r="G22" s="23"/>
      <c r="H22" s="11"/>
      <c r="I22" s="12"/>
      <c r="N22" s="11"/>
    </row>
    <row r="23" spans="3:14" x14ac:dyDescent="0.25">
      <c r="D23" t="s">
        <v>22</v>
      </c>
      <c r="E23" s="43" t="s">
        <v>23</v>
      </c>
      <c r="F23" s="43"/>
      <c r="G23" s="23"/>
      <c r="H23" s="11"/>
      <c r="I23" s="12"/>
      <c r="N23" s="11"/>
    </row>
    <row r="24" spans="3:14" x14ac:dyDescent="0.25">
      <c r="D24" t="s">
        <v>24</v>
      </c>
      <c r="E24" s="43" t="s">
        <v>25</v>
      </c>
      <c r="F24" s="43"/>
      <c r="G24" s="23"/>
      <c r="H24" s="11"/>
      <c r="I24" s="12"/>
      <c r="N24" s="11"/>
    </row>
    <row r="25" spans="3:14" x14ac:dyDescent="0.25">
      <c r="D25" t="s">
        <v>26</v>
      </c>
      <c r="E25" s="43" t="s">
        <v>27</v>
      </c>
      <c r="F25" s="43"/>
      <c r="G25" s="23"/>
      <c r="H25" s="11"/>
      <c r="I25" s="12"/>
      <c r="N25" s="11"/>
    </row>
    <row r="26" spans="3:14" x14ac:dyDescent="0.25">
      <c r="D26" t="s">
        <v>28</v>
      </c>
      <c r="E26" s="43" t="s">
        <v>29</v>
      </c>
      <c r="F26" s="43"/>
      <c r="G26" s="23"/>
      <c r="H26" s="11"/>
      <c r="I26" s="12"/>
      <c r="N26" s="11"/>
    </row>
    <row r="27" spans="3:14" ht="5.0999999999999996" customHeight="1" x14ac:dyDescent="0.25">
      <c r="C27" s="1"/>
      <c r="D27" s="1"/>
      <c r="E27" s="8"/>
      <c r="F27" s="8"/>
      <c r="G27" s="13"/>
      <c r="H27" s="11"/>
      <c r="I27" s="12"/>
      <c r="N27" s="15"/>
    </row>
    <row r="28" spans="3:14" ht="15.75" thickBot="1" x14ac:dyDescent="0.3">
      <c r="C28" s="16"/>
      <c r="D28" s="16"/>
      <c r="G28" s="20">
        <f>SUM(G11:G26)</f>
        <v>2253000</v>
      </c>
      <c r="H28" s="17"/>
      <c r="I28" s="18"/>
      <c r="J28" s="19"/>
      <c r="N28" s="20">
        <f>SUM(N10:N15)</f>
        <v>340000</v>
      </c>
    </row>
    <row r="29" spans="3:14" ht="15.75" thickTop="1" x14ac:dyDescent="0.25"/>
    <row r="34" spans="3:12" x14ac:dyDescent="0.25">
      <c r="C34" t="s">
        <v>30</v>
      </c>
      <c r="E34" s="21">
        <f ca="1">TODAY()</f>
        <v>46301</v>
      </c>
    </row>
    <row r="36" spans="3:12" x14ac:dyDescent="0.25">
      <c r="G36" s="22" t="s">
        <v>31</v>
      </c>
      <c r="L36" s="22" t="s">
        <v>32</v>
      </c>
    </row>
  </sheetData>
  <mergeCells count="13">
    <mergeCell ref="E26:F26"/>
    <mergeCell ref="E20:F20"/>
    <mergeCell ref="E21:F21"/>
    <mergeCell ref="E22:F22"/>
    <mergeCell ref="E23:F23"/>
    <mergeCell ref="E24:F24"/>
    <mergeCell ref="E25:F25"/>
    <mergeCell ref="E19:F19"/>
    <mergeCell ref="C7:N7"/>
    <mergeCell ref="D10:E10"/>
    <mergeCell ref="L15:M15"/>
    <mergeCell ref="D17:E17"/>
    <mergeCell ref="E18:F18"/>
  </mergeCells>
  <hyperlinks>
    <hyperlink ref="B1:E1" location="Ausgangsbilanz!B1" display="Ausgangsbilanz" xr:uid="{7C1CFBD3-E9C5-4F65-8A14-6855DB42FD02}"/>
    <hyperlink ref="B2:E2" location="'Bilanz nach Beleg 1'!B2" display="Bilanz nach Beleg 1" xr:uid="{96CBE6EF-A62C-455E-A0B2-E0B070D9067B}"/>
    <hyperlink ref="B3:E3" location="'Bilanz nach Beleg 1+2'!B3" display="Bilanz nach Beleg 1+2" xr:uid="{FEEC1BF0-88BE-4922-ACD8-41572267BD21}"/>
    <hyperlink ref="B4:E4" location="'Bilanz nach Beleg 1, 2+3'!B4" display="Bilanz nach Beleg 1, 2+3" xr:uid="{2946F8F6-5948-48C3-88C5-CA47773D139A}"/>
    <hyperlink ref="B5:E5" location="'Bilanz nach Beleg 1, 2, 3+4'!B5" display="Bilanz nach Beleg 1, 2, 3+4" xr:uid="{30B85F31-04CE-41F0-9FB4-D00E898579DD}"/>
    <hyperlink ref="B6:E6" location="Schlussbilanz!B6" display="Schlussbilanz" xr:uid="{D2395496-C8AA-4EF2-88EE-4C42AE690327}"/>
    <hyperlink ref="Q1" location="Ausgangsbilanz!B1" display="Ausgangsbilanz" xr:uid="{73BC57FD-5B79-4AD8-B60A-D1F8CF90F64F}"/>
    <hyperlink ref="Q2" location="'Bilanz nach Beleg 1'!B2" display="Bilanz nach Beleg 1" xr:uid="{57204ACC-5BBD-4A3A-98D8-B07B49675857}"/>
  </hyperlinks>
  <pageMargins left="0.7" right="0.7" top="0.78740157499999996" bottom="0.78740157499999996" header="0.3" footer="0.3"/>
  <pageSetup paperSize="9" scale="75" fitToHeight="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84BE4B-7DFD-4620-A7CC-005A64100AC2}">
  <sheetPr codeName="Tabelle4">
    <tabColor theme="5"/>
    <pageSetUpPr fitToPage="1"/>
  </sheetPr>
  <dimension ref="B1:Q36"/>
  <sheetViews>
    <sheetView showGridLines="0" showRowColHeaders="0" workbookViewId="0">
      <selection activeCell="Q1" sqref="Q1:Q6"/>
    </sheetView>
  </sheetViews>
  <sheetFormatPr baseColWidth="10" defaultRowHeight="15" x14ac:dyDescent="0.25"/>
  <cols>
    <col min="2" max="2" width="2.7109375" customWidth="1"/>
    <col min="3" max="3" width="2.7109375" bestFit="1" customWidth="1"/>
    <col min="4" max="4" width="2.7109375" customWidth="1"/>
    <col min="5" max="5" width="33.7109375" customWidth="1"/>
    <col min="7" max="7" width="14.5703125" bestFit="1" customWidth="1"/>
    <col min="8" max="11" width="2.7109375" customWidth="1"/>
    <col min="12" max="12" width="33.7109375" customWidth="1"/>
    <col min="14" max="14" width="14.5703125" bestFit="1" customWidth="1"/>
    <col min="15" max="15" width="2.7109375" customWidth="1"/>
  </cols>
  <sheetData>
    <row r="1" spans="2:17" x14ac:dyDescent="0.25">
      <c r="C1" s="25"/>
      <c r="D1" s="25"/>
      <c r="E1" s="25"/>
      <c r="Q1" s="25" t="s">
        <v>34</v>
      </c>
    </row>
    <row r="2" spans="2:17" x14ac:dyDescent="0.25">
      <c r="C2" s="25"/>
      <c r="D2" s="25"/>
      <c r="E2" s="25"/>
      <c r="Q2" s="25" t="s">
        <v>41</v>
      </c>
    </row>
    <row r="3" spans="2:17" x14ac:dyDescent="0.25">
      <c r="C3" s="25"/>
      <c r="D3" s="25"/>
      <c r="E3" s="25"/>
      <c r="Q3" s="25" t="s">
        <v>42</v>
      </c>
    </row>
    <row r="4" spans="2:17" x14ac:dyDescent="0.25">
      <c r="C4" s="25"/>
      <c r="D4" s="25"/>
      <c r="E4" s="25"/>
      <c r="Q4" s="26" t="s">
        <v>43</v>
      </c>
    </row>
    <row r="5" spans="2:17" x14ac:dyDescent="0.25">
      <c r="C5" s="25"/>
      <c r="D5" s="25"/>
      <c r="E5" s="25"/>
      <c r="Q5" s="25" t="s">
        <v>44</v>
      </c>
    </row>
    <row r="6" spans="2:17" x14ac:dyDescent="0.25">
      <c r="C6" s="25"/>
      <c r="D6" s="25"/>
      <c r="E6" s="25"/>
      <c r="Q6" s="25" t="s">
        <v>35</v>
      </c>
    </row>
    <row r="7" spans="2:17" ht="20.100000000000001" customHeight="1" x14ac:dyDescent="0.25">
      <c r="C7" s="44" t="s">
        <v>6</v>
      </c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</row>
    <row r="8" spans="2:17" s="5" customFormat="1" ht="20.100000000000001" customHeight="1" x14ac:dyDescent="0.25">
      <c r="B8" s="2" t="s">
        <v>7</v>
      </c>
      <c r="C8" s="2"/>
      <c r="D8" s="3"/>
      <c r="E8" s="3" t="s">
        <v>8</v>
      </c>
      <c r="F8" s="3"/>
      <c r="G8" s="3"/>
      <c r="H8" s="3"/>
      <c r="I8" s="3"/>
      <c r="J8" s="3"/>
      <c r="K8" s="3"/>
      <c r="L8" s="3"/>
      <c r="M8" s="3"/>
      <c r="N8" s="3"/>
      <c r="O8" s="4" t="s">
        <v>9</v>
      </c>
    </row>
    <row r="9" spans="2:17" ht="5.0999999999999996" customHeight="1" x14ac:dyDescent="0.25">
      <c r="I9" s="6"/>
      <c r="O9" s="7"/>
    </row>
    <row r="10" spans="2:17" x14ac:dyDescent="0.25">
      <c r="C10" t="s">
        <v>0</v>
      </c>
      <c r="D10" s="43" t="s">
        <v>1</v>
      </c>
      <c r="E10" s="43"/>
      <c r="I10" s="9"/>
      <c r="J10" t="s">
        <v>0</v>
      </c>
      <c r="K10" t="s">
        <v>3</v>
      </c>
      <c r="N10" s="10">
        <v>340000</v>
      </c>
    </row>
    <row r="11" spans="2:17" x14ac:dyDescent="0.25">
      <c r="D11" t="s">
        <v>10</v>
      </c>
      <c r="E11" t="s">
        <v>38</v>
      </c>
      <c r="G11" s="10">
        <f>Ausgangsbilanz!G11</f>
        <v>1070000</v>
      </c>
      <c r="H11" s="11"/>
      <c r="I11" s="12"/>
      <c r="N11" s="13"/>
    </row>
    <row r="12" spans="2:17" x14ac:dyDescent="0.25">
      <c r="D12" s="14" t="s">
        <v>11</v>
      </c>
      <c r="E12" t="s">
        <v>33</v>
      </c>
      <c r="G12" s="10">
        <f>Ausgangsbilanz!G12</f>
        <v>850000</v>
      </c>
      <c r="H12" s="11"/>
      <c r="I12" s="12"/>
      <c r="J12" t="s">
        <v>4</v>
      </c>
      <c r="K12" t="s">
        <v>5</v>
      </c>
      <c r="N12" s="13"/>
    </row>
    <row r="13" spans="2:17" x14ac:dyDescent="0.25">
      <c r="G13" s="13"/>
      <c r="H13" s="11"/>
      <c r="I13" s="12"/>
      <c r="K13" t="s">
        <v>10</v>
      </c>
      <c r="L13" s="8" t="s">
        <v>12</v>
      </c>
      <c r="M13" s="8"/>
      <c r="N13" s="23"/>
    </row>
    <row r="14" spans="2:17" x14ac:dyDescent="0.25">
      <c r="D14" t="s">
        <v>13</v>
      </c>
      <c r="E14" t="s">
        <v>39</v>
      </c>
      <c r="G14" s="10">
        <f>Ausgangsbilanz!G14</f>
        <v>333000</v>
      </c>
      <c r="H14" s="11"/>
      <c r="I14" s="12"/>
      <c r="K14" t="s">
        <v>11</v>
      </c>
      <c r="L14" s="8" t="s">
        <v>14</v>
      </c>
      <c r="M14" s="8"/>
      <c r="N14" s="23"/>
    </row>
    <row r="15" spans="2:17" x14ac:dyDescent="0.25">
      <c r="G15" s="13"/>
      <c r="H15" s="11"/>
      <c r="I15" s="12"/>
      <c r="K15" t="s">
        <v>13</v>
      </c>
      <c r="L15" s="43" t="s">
        <v>15</v>
      </c>
      <c r="M15" s="43"/>
      <c r="N15" s="23"/>
    </row>
    <row r="16" spans="2:17" x14ac:dyDescent="0.25">
      <c r="G16" s="13"/>
      <c r="H16" s="11"/>
      <c r="I16" s="12"/>
    </row>
    <row r="17" spans="3:14" x14ac:dyDescent="0.25">
      <c r="C17" t="s">
        <v>4</v>
      </c>
      <c r="D17" s="43" t="s">
        <v>2</v>
      </c>
      <c r="E17" s="43"/>
      <c r="G17" s="13"/>
      <c r="H17" s="11"/>
      <c r="I17" s="12"/>
      <c r="N17" s="11"/>
    </row>
    <row r="18" spans="3:14" x14ac:dyDescent="0.25">
      <c r="D18" t="s">
        <v>10</v>
      </c>
      <c r="E18" s="43" t="s">
        <v>36</v>
      </c>
      <c r="F18" s="43"/>
      <c r="G18" s="23"/>
      <c r="H18" s="11"/>
      <c r="I18" s="12"/>
      <c r="N18" s="11"/>
    </row>
    <row r="19" spans="3:14" x14ac:dyDescent="0.25">
      <c r="D19" t="s">
        <v>11</v>
      </c>
      <c r="E19" s="43" t="s">
        <v>16</v>
      </c>
      <c r="F19" s="43"/>
      <c r="G19" s="23"/>
      <c r="H19" s="11"/>
      <c r="I19" s="12"/>
      <c r="N19" s="11"/>
    </row>
    <row r="20" spans="3:14" x14ac:dyDescent="0.25">
      <c r="D20" t="s">
        <v>13</v>
      </c>
      <c r="E20" s="43" t="s">
        <v>17</v>
      </c>
      <c r="F20" s="43"/>
      <c r="G20" s="23"/>
      <c r="H20" s="11"/>
      <c r="I20" s="12"/>
      <c r="N20" s="11"/>
    </row>
    <row r="21" spans="3:14" x14ac:dyDescent="0.25">
      <c r="D21" t="s">
        <v>18</v>
      </c>
      <c r="E21" s="43" t="s">
        <v>19</v>
      </c>
      <c r="F21" s="43"/>
      <c r="G21" s="23"/>
      <c r="H21" s="11"/>
      <c r="I21" s="12"/>
      <c r="N21" s="11"/>
    </row>
    <row r="22" spans="3:14" x14ac:dyDescent="0.25">
      <c r="D22" t="s">
        <v>20</v>
      </c>
      <c r="E22" s="43" t="s">
        <v>21</v>
      </c>
      <c r="F22" s="43"/>
      <c r="G22" s="23"/>
      <c r="H22" s="11"/>
      <c r="I22" s="12"/>
      <c r="N22" s="11"/>
    </row>
    <row r="23" spans="3:14" x14ac:dyDescent="0.25">
      <c r="D23" t="s">
        <v>22</v>
      </c>
      <c r="E23" s="43" t="s">
        <v>23</v>
      </c>
      <c r="F23" s="43"/>
      <c r="G23" s="23"/>
      <c r="H23" s="11"/>
      <c r="I23" s="12"/>
      <c r="N23" s="11"/>
    </row>
    <row r="24" spans="3:14" x14ac:dyDescent="0.25">
      <c r="D24" t="s">
        <v>24</v>
      </c>
      <c r="E24" s="43" t="s">
        <v>25</v>
      </c>
      <c r="F24" s="43"/>
      <c r="G24" s="23"/>
      <c r="H24" s="11"/>
      <c r="I24" s="12"/>
      <c r="N24" s="11"/>
    </row>
    <row r="25" spans="3:14" x14ac:dyDescent="0.25">
      <c r="D25" t="s">
        <v>26</v>
      </c>
      <c r="E25" s="43" t="s">
        <v>27</v>
      </c>
      <c r="F25" s="43"/>
      <c r="G25" s="23"/>
      <c r="H25" s="11"/>
      <c r="I25" s="12"/>
      <c r="N25" s="11"/>
    </row>
    <row r="26" spans="3:14" x14ac:dyDescent="0.25">
      <c r="D26" t="s">
        <v>28</v>
      </c>
      <c r="E26" s="43" t="s">
        <v>29</v>
      </c>
      <c r="F26" s="43"/>
      <c r="G26" s="23"/>
      <c r="H26" s="11"/>
      <c r="I26" s="12"/>
      <c r="N26" s="11"/>
    </row>
    <row r="27" spans="3:14" ht="5.0999999999999996" customHeight="1" x14ac:dyDescent="0.25">
      <c r="C27" s="1"/>
      <c r="D27" s="1"/>
      <c r="E27" s="8"/>
      <c r="F27" s="8"/>
      <c r="G27" s="13"/>
      <c r="H27" s="11"/>
      <c r="I27" s="12"/>
      <c r="N27" s="15"/>
    </row>
    <row r="28" spans="3:14" ht="15.75" thickBot="1" x14ac:dyDescent="0.3">
      <c r="C28" s="16"/>
      <c r="D28" s="16"/>
      <c r="G28" s="20">
        <f>SUM(G11:G26)</f>
        <v>2253000</v>
      </c>
      <c r="H28" s="17"/>
      <c r="I28" s="18"/>
      <c r="J28" s="19"/>
      <c r="N28" s="20">
        <f>SUM(N10:N15)</f>
        <v>340000</v>
      </c>
    </row>
    <row r="29" spans="3:14" ht="15.75" thickTop="1" x14ac:dyDescent="0.25"/>
    <row r="34" spans="3:12" x14ac:dyDescent="0.25">
      <c r="C34" t="s">
        <v>30</v>
      </c>
      <c r="E34" s="21">
        <f ca="1">TODAY()</f>
        <v>46301</v>
      </c>
    </row>
    <row r="36" spans="3:12" x14ac:dyDescent="0.25">
      <c r="G36" s="22" t="s">
        <v>31</v>
      </c>
      <c r="L36" s="22" t="s">
        <v>32</v>
      </c>
    </row>
  </sheetData>
  <mergeCells count="13">
    <mergeCell ref="E26:F26"/>
    <mergeCell ref="E20:F20"/>
    <mergeCell ref="E21:F21"/>
    <mergeCell ref="E22:F22"/>
    <mergeCell ref="E23:F23"/>
    <mergeCell ref="E24:F24"/>
    <mergeCell ref="E25:F25"/>
    <mergeCell ref="E19:F19"/>
    <mergeCell ref="C7:N7"/>
    <mergeCell ref="D10:E10"/>
    <mergeCell ref="L15:M15"/>
    <mergeCell ref="D17:E17"/>
    <mergeCell ref="E18:F18"/>
  </mergeCells>
  <hyperlinks>
    <hyperlink ref="B1:E1" location="Ausgangsbilanz!B1" display="Ausgangsbilanz" xr:uid="{04B482F5-0BCB-46F7-AB06-97A1DC5023AD}"/>
    <hyperlink ref="B2:E2" location="'Bilanz nach Beleg 1'!B2" display="Bilanz nach Beleg 1" xr:uid="{073C74A0-6077-4901-A252-2224FC0584A0}"/>
    <hyperlink ref="B3:E3" location="'Bilanz nach Beleg 1+2'!B3" display="Bilanz nach Beleg 1+2" xr:uid="{DA10EA61-FB09-4589-9A19-EC91E5AF4456}"/>
    <hyperlink ref="B4:E4" location="'Bilanz nach Beleg 1, 2+3'!B4" display="Bilanz nach Beleg 1, 2+3" xr:uid="{BF131919-B44A-4823-A214-A638396B9C93}"/>
    <hyperlink ref="B5:E5" location="'Bilanz nach Beleg 1, 2, 3+4'!B5" display="Bilanz nach Beleg 1, 2, 3+4" xr:uid="{95B1AD12-7F5D-4F7C-A1E1-024C010A8A47}"/>
    <hyperlink ref="B6:E6" location="Schlussbilanz!B6" display="Schlussbilanz" xr:uid="{E07AFA45-11BE-42FD-8E0F-52961AF586EE}"/>
    <hyperlink ref="Q1" location="Ausgangsbilanz!B1" display="Ausgangsbilanz" xr:uid="{457609C1-4AAE-408E-BF28-4E61F428183B}"/>
    <hyperlink ref="Q2" location="'Bilanz nach Beleg 1'!B2" display="Bilanz nach Beleg 1" xr:uid="{2A7924C6-8971-4241-A516-925B45350BBA}"/>
  </hyperlinks>
  <pageMargins left="0.7" right="0.7" top="0.78740157499999996" bottom="0.78740157499999996" header="0.3" footer="0.3"/>
  <pageSetup paperSize="9" scale="75" fitToHeight="0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5AA46A-31C5-43D2-B799-0DE2C123802C}">
  <sheetPr codeName="Tabelle5">
    <tabColor theme="5"/>
    <pageSetUpPr fitToPage="1"/>
  </sheetPr>
  <dimension ref="B1:Q36"/>
  <sheetViews>
    <sheetView showGridLines="0" showRowColHeaders="0" workbookViewId="0">
      <selection activeCell="Q1" sqref="Q1:Q6"/>
    </sheetView>
  </sheetViews>
  <sheetFormatPr baseColWidth="10" defaultRowHeight="15" x14ac:dyDescent="0.25"/>
  <cols>
    <col min="2" max="2" width="2.7109375" customWidth="1"/>
    <col min="3" max="3" width="2.7109375" bestFit="1" customWidth="1"/>
    <col min="4" max="4" width="2.7109375" customWidth="1"/>
    <col min="5" max="5" width="33.7109375" customWidth="1"/>
    <col min="7" max="7" width="14.5703125" bestFit="1" customWidth="1"/>
    <col min="8" max="11" width="2.7109375" customWidth="1"/>
    <col min="12" max="12" width="33.7109375" customWidth="1"/>
    <col min="14" max="14" width="14.5703125" bestFit="1" customWidth="1"/>
    <col min="15" max="15" width="2.7109375" customWidth="1"/>
  </cols>
  <sheetData>
    <row r="1" spans="2:17" x14ac:dyDescent="0.25">
      <c r="C1" s="25"/>
      <c r="D1" s="25"/>
      <c r="E1" s="25"/>
      <c r="Q1" s="25" t="s">
        <v>34</v>
      </c>
    </row>
    <row r="2" spans="2:17" x14ac:dyDescent="0.25">
      <c r="C2" s="25"/>
      <c r="D2" s="25"/>
      <c r="E2" s="25"/>
      <c r="Q2" s="25" t="s">
        <v>41</v>
      </c>
    </row>
    <row r="3" spans="2:17" x14ac:dyDescent="0.25">
      <c r="C3" s="25"/>
      <c r="D3" s="25"/>
      <c r="E3" s="25"/>
      <c r="Q3" s="25" t="s">
        <v>42</v>
      </c>
    </row>
    <row r="4" spans="2:17" x14ac:dyDescent="0.25">
      <c r="C4" s="25"/>
      <c r="D4" s="25"/>
      <c r="E4" s="25"/>
      <c r="Q4" s="25" t="s">
        <v>43</v>
      </c>
    </row>
    <row r="5" spans="2:17" x14ac:dyDescent="0.25">
      <c r="C5" s="25"/>
      <c r="D5" s="25"/>
      <c r="E5" s="25"/>
      <c r="Q5" s="26" t="s">
        <v>44</v>
      </c>
    </row>
    <row r="6" spans="2:17" x14ac:dyDescent="0.25">
      <c r="C6" s="25"/>
      <c r="D6" s="25"/>
      <c r="E6" s="25"/>
      <c r="Q6" s="25" t="s">
        <v>35</v>
      </c>
    </row>
    <row r="7" spans="2:17" ht="20.100000000000001" customHeight="1" x14ac:dyDescent="0.25">
      <c r="C7" s="44" t="s">
        <v>6</v>
      </c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</row>
    <row r="8" spans="2:17" s="5" customFormat="1" ht="20.100000000000001" customHeight="1" x14ac:dyDescent="0.25">
      <c r="B8" s="2" t="s">
        <v>7</v>
      </c>
      <c r="C8" s="2"/>
      <c r="D8" s="3"/>
      <c r="E8" s="3" t="s">
        <v>8</v>
      </c>
      <c r="F8" s="3"/>
      <c r="G8" s="3"/>
      <c r="H8" s="3"/>
      <c r="I8" s="3"/>
      <c r="J8" s="3"/>
      <c r="K8" s="3"/>
      <c r="L8" s="3"/>
      <c r="M8" s="3"/>
      <c r="N8" s="3"/>
      <c r="O8" s="4" t="s">
        <v>9</v>
      </c>
    </row>
    <row r="9" spans="2:17" ht="5.0999999999999996" customHeight="1" x14ac:dyDescent="0.25">
      <c r="I9" s="6"/>
      <c r="O9" s="7"/>
    </row>
    <row r="10" spans="2:17" x14ac:dyDescent="0.25">
      <c r="C10" t="s">
        <v>0</v>
      </c>
      <c r="D10" s="43" t="s">
        <v>1</v>
      </c>
      <c r="E10" s="43"/>
      <c r="I10" s="9"/>
      <c r="J10" t="s">
        <v>0</v>
      </c>
      <c r="K10" t="s">
        <v>3</v>
      </c>
      <c r="N10" s="10">
        <v>340000</v>
      </c>
    </row>
    <row r="11" spans="2:17" x14ac:dyDescent="0.25">
      <c r="D11" t="s">
        <v>10</v>
      </c>
      <c r="E11" t="s">
        <v>38</v>
      </c>
      <c r="G11" s="10">
        <f>Ausgangsbilanz!G11</f>
        <v>1070000</v>
      </c>
      <c r="H11" s="11"/>
      <c r="I11" s="12"/>
      <c r="N11" s="13"/>
    </row>
    <row r="12" spans="2:17" x14ac:dyDescent="0.25">
      <c r="D12" s="14" t="s">
        <v>11</v>
      </c>
      <c r="E12" t="s">
        <v>33</v>
      </c>
      <c r="G12" s="10">
        <f>Ausgangsbilanz!G12</f>
        <v>850000</v>
      </c>
      <c r="H12" s="11"/>
      <c r="I12" s="12"/>
      <c r="J12" t="s">
        <v>4</v>
      </c>
      <c r="K12" t="s">
        <v>5</v>
      </c>
      <c r="N12" s="13"/>
    </row>
    <row r="13" spans="2:17" x14ac:dyDescent="0.25">
      <c r="G13" s="13"/>
      <c r="H13" s="11"/>
      <c r="I13" s="12"/>
      <c r="K13" t="s">
        <v>10</v>
      </c>
      <c r="L13" s="8" t="s">
        <v>12</v>
      </c>
      <c r="M13" s="8"/>
      <c r="N13" s="23"/>
    </row>
    <row r="14" spans="2:17" x14ac:dyDescent="0.25">
      <c r="D14" t="s">
        <v>13</v>
      </c>
      <c r="E14" t="s">
        <v>39</v>
      </c>
      <c r="G14" s="10">
        <f>Ausgangsbilanz!G14</f>
        <v>333000</v>
      </c>
      <c r="H14" s="11"/>
      <c r="I14" s="12"/>
      <c r="K14" t="s">
        <v>11</v>
      </c>
      <c r="L14" s="8" t="s">
        <v>14</v>
      </c>
      <c r="M14" s="8"/>
      <c r="N14" s="23"/>
    </row>
    <row r="15" spans="2:17" x14ac:dyDescent="0.25">
      <c r="G15" s="13"/>
      <c r="H15" s="11"/>
      <c r="I15" s="12"/>
      <c r="K15" t="s">
        <v>13</v>
      </c>
      <c r="L15" s="43" t="s">
        <v>15</v>
      </c>
      <c r="M15" s="43"/>
      <c r="N15" s="23"/>
    </row>
    <row r="16" spans="2:17" x14ac:dyDescent="0.25">
      <c r="G16" s="13"/>
      <c r="H16" s="11"/>
      <c r="I16" s="12"/>
    </row>
    <row r="17" spans="3:14" x14ac:dyDescent="0.25">
      <c r="C17" t="s">
        <v>4</v>
      </c>
      <c r="D17" s="43" t="s">
        <v>2</v>
      </c>
      <c r="E17" s="43"/>
      <c r="G17" s="13"/>
      <c r="H17" s="11"/>
      <c r="I17" s="12"/>
      <c r="N17" s="11"/>
    </row>
    <row r="18" spans="3:14" x14ac:dyDescent="0.25">
      <c r="D18" t="s">
        <v>10</v>
      </c>
      <c r="E18" s="43" t="s">
        <v>36</v>
      </c>
      <c r="F18" s="43"/>
      <c r="G18" s="23"/>
      <c r="H18" s="11"/>
      <c r="I18" s="12"/>
      <c r="N18" s="11"/>
    </row>
    <row r="19" spans="3:14" x14ac:dyDescent="0.25">
      <c r="D19" t="s">
        <v>11</v>
      </c>
      <c r="E19" s="43" t="s">
        <v>16</v>
      </c>
      <c r="F19" s="43"/>
      <c r="G19" s="23"/>
      <c r="H19" s="11"/>
      <c r="I19" s="12"/>
      <c r="N19" s="11"/>
    </row>
    <row r="20" spans="3:14" x14ac:dyDescent="0.25">
      <c r="D20" t="s">
        <v>13</v>
      </c>
      <c r="E20" s="43" t="s">
        <v>17</v>
      </c>
      <c r="F20" s="43"/>
      <c r="G20" s="23"/>
      <c r="H20" s="11"/>
      <c r="I20" s="12"/>
      <c r="N20" s="11"/>
    </row>
    <row r="21" spans="3:14" x14ac:dyDescent="0.25">
      <c r="D21" t="s">
        <v>18</v>
      </c>
      <c r="E21" s="43" t="s">
        <v>19</v>
      </c>
      <c r="F21" s="43"/>
      <c r="G21" s="23"/>
      <c r="H21" s="11"/>
      <c r="I21" s="12"/>
      <c r="N21" s="11"/>
    </row>
    <row r="22" spans="3:14" x14ac:dyDescent="0.25">
      <c r="D22" t="s">
        <v>20</v>
      </c>
      <c r="E22" s="43" t="s">
        <v>21</v>
      </c>
      <c r="F22" s="43"/>
      <c r="G22" s="23"/>
      <c r="H22" s="11"/>
      <c r="I22" s="12"/>
      <c r="N22" s="11"/>
    </row>
    <row r="23" spans="3:14" x14ac:dyDescent="0.25">
      <c r="D23" t="s">
        <v>22</v>
      </c>
      <c r="E23" s="43" t="s">
        <v>23</v>
      </c>
      <c r="F23" s="43"/>
      <c r="G23" s="23"/>
      <c r="H23" s="11"/>
      <c r="I23" s="12"/>
      <c r="N23" s="11"/>
    </row>
    <row r="24" spans="3:14" x14ac:dyDescent="0.25">
      <c r="D24" t="s">
        <v>24</v>
      </c>
      <c r="E24" s="43" t="s">
        <v>25</v>
      </c>
      <c r="F24" s="43"/>
      <c r="G24" s="23"/>
      <c r="H24" s="11"/>
      <c r="I24" s="12"/>
      <c r="N24" s="11"/>
    </row>
    <row r="25" spans="3:14" x14ac:dyDescent="0.25">
      <c r="D25" t="s">
        <v>26</v>
      </c>
      <c r="E25" s="43" t="s">
        <v>27</v>
      </c>
      <c r="F25" s="43"/>
      <c r="G25" s="23"/>
      <c r="H25" s="11"/>
      <c r="I25" s="12"/>
      <c r="N25" s="11"/>
    </row>
    <row r="26" spans="3:14" x14ac:dyDescent="0.25">
      <c r="D26" t="s">
        <v>28</v>
      </c>
      <c r="E26" s="43" t="s">
        <v>29</v>
      </c>
      <c r="F26" s="43"/>
      <c r="G26" s="23"/>
      <c r="H26" s="11"/>
      <c r="I26" s="12"/>
      <c r="N26" s="11"/>
    </row>
    <row r="27" spans="3:14" ht="5.0999999999999996" customHeight="1" x14ac:dyDescent="0.25">
      <c r="C27" s="1"/>
      <c r="D27" s="1"/>
      <c r="E27" s="8"/>
      <c r="F27" s="8"/>
      <c r="G27" s="13"/>
      <c r="H27" s="11"/>
      <c r="I27" s="12"/>
      <c r="N27" s="15"/>
    </row>
    <row r="28" spans="3:14" ht="15.75" thickBot="1" x14ac:dyDescent="0.3">
      <c r="C28" s="16"/>
      <c r="D28" s="16"/>
      <c r="G28" s="20">
        <f>SUM(G11:G26)</f>
        <v>2253000</v>
      </c>
      <c r="H28" s="17"/>
      <c r="I28" s="18"/>
      <c r="J28" s="19"/>
      <c r="N28" s="20">
        <f>SUM(N10:N15)</f>
        <v>340000</v>
      </c>
    </row>
    <row r="29" spans="3:14" ht="15.75" thickTop="1" x14ac:dyDescent="0.25"/>
    <row r="34" spans="3:12" x14ac:dyDescent="0.25">
      <c r="C34" t="s">
        <v>30</v>
      </c>
      <c r="E34" s="21">
        <f ca="1">TODAY()</f>
        <v>46301</v>
      </c>
    </row>
    <row r="36" spans="3:12" x14ac:dyDescent="0.25">
      <c r="G36" s="22" t="s">
        <v>31</v>
      </c>
      <c r="L36" s="22" t="s">
        <v>32</v>
      </c>
    </row>
  </sheetData>
  <mergeCells count="13">
    <mergeCell ref="E26:F26"/>
    <mergeCell ref="E20:F20"/>
    <mergeCell ref="E21:F21"/>
    <mergeCell ref="E22:F22"/>
    <mergeCell ref="E23:F23"/>
    <mergeCell ref="E24:F24"/>
    <mergeCell ref="E25:F25"/>
    <mergeCell ref="E19:F19"/>
    <mergeCell ref="C7:N7"/>
    <mergeCell ref="D10:E10"/>
    <mergeCell ref="L15:M15"/>
    <mergeCell ref="D17:E17"/>
    <mergeCell ref="E18:F18"/>
  </mergeCells>
  <hyperlinks>
    <hyperlink ref="B1:E1" location="Ausgangsbilanz!B1" display="Ausgangsbilanz" xr:uid="{008B14B8-7751-4F67-B081-42B0925B80E0}"/>
    <hyperlink ref="B2:E2" location="'Bilanz nach Beleg 1'!B2" display="Bilanz nach Beleg 1" xr:uid="{55AD7879-364C-4A5E-BAED-372D3D1F38F2}"/>
    <hyperlink ref="B3:E3" location="'Bilanz nach Beleg 1+2'!B3" display="Bilanz nach Beleg 1+2" xr:uid="{93333362-BF32-41AE-B3CB-D2D0861B6690}"/>
    <hyperlink ref="B4:E4" location="'Bilanz nach Beleg 1, 2+3'!B4" display="Bilanz nach Beleg 1, 2+3" xr:uid="{CC7C20DD-3809-408F-8F0B-FBB63E6FE915}"/>
    <hyperlink ref="B5:E5" location="'Bilanz nach Beleg 1, 2, 3+4'!B5" display="Bilanz nach Beleg 1, 2, 3+4" xr:uid="{236CFC59-DAC9-4F82-BD6E-52580F7C6664}"/>
    <hyperlink ref="B6:E6" location="Schlussbilanz!B6" display="Schlussbilanz" xr:uid="{2BC407DA-B8F4-46AA-A826-AB9B991A6884}"/>
    <hyperlink ref="Q1" location="Ausgangsbilanz!B1" display="Ausgangsbilanz" xr:uid="{75AB5075-164E-4364-80CA-158557B785CE}"/>
    <hyperlink ref="Q2" location="'Bilanz nach Beleg 1'!B2" display="Bilanz nach Beleg 1" xr:uid="{BD6AF73B-3D9D-4975-B340-A877AFE0B910}"/>
  </hyperlinks>
  <pageMargins left="0.7" right="0.7" top="0.78740157499999996" bottom="0.78740157499999996" header="0.3" footer="0.3"/>
  <pageSetup paperSize="9" scale="75" fitToHeight="0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20F64C-CCD9-40E3-BFEF-40F36A75740A}">
  <sheetPr codeName="Tabelle6">
    <tabColor theme="5"/>
    <pageSetUpPr fitToPage="1"/>
  </sheetPr>
  <dimension ref="B1:Q36"/>
  <sheetViews>
    <sheetView showGridLines="0" showRowColHeaders="0" workbookViewId="0">
      <selection activeCell="Q1" sqref="Q1"/>
    </sheetView>
  </sheetViews>
  <sheetFormatPr baseColWidth="10" defaultRowHeight="15" x14ac:dyDescent="0.25"/>
  <cols>
    <col min="2" max="2" width="2.7109375" customWidth="1"/>
    <col min="3" max="3" width="2.7109375" bestFit="1" customWidth="1"/>
    <col min="4" max="4" width="2.7109375" customWidth="1"/>
    <col min="5" max="5" width="33.7109375" customWidth="1"/>
    <col min="7" max="7" width="14.5703125" bestFit="1" customWidth="1"/>
    <col min="8" max="11" width="2.7109375" customWidth="1"/>
    <col min="12" max="12" width="33.7109375" customWidth="1"/>
    <col min="14" max="14" width="14.5703125" bestFit="1" customWidth="1"/>
    <col min="15" max="15" width="2.7109375" customWidth="1"/>
  </cols>
  <sheetData>
    <row r="1" spans="2:17" x14ac:dyDescent="0.25">
      <c r="C1" s="25"/>
      <c r="D1" s="25"/>
      <c r="E1" s="25"/>
      <c r="Q1" s="25" t="s">
        <v>34</v>
      </c>
    </row>
    <row r="2" spans="2:17" x14ac:dyDescent="0.25">
      <c r="C2" s="25"/>
      <c r="D2" s="25"/>
      <c r="E2" s="25"/>
      <c r="Q2" s="25" t="s">
        <v>41</v>
      </c>
    </row>
    <row r="3" spans="2:17" x14ac:dyDescent="0.25">
      <c r="C3" s="25"/>
      <c r="D3" s="25"/>
      <c r="E3" s="25"/>
      <c r="Q3" s="25" t="s">
        <v>42</v>
      </c>
    </row>
    <row r="4" spans="2:17" x14ac:dyDescent="0.25">
      <c r="C4" s="25"/>
      <c r="D4" s="25"/>
      <c r="E4" s="25"/>
      <c r="Q4" s="25" t="s">
        <v>43</v>
      </c>
    </row>
    <row r="5" spans="2:17" x14ac:dyDescent="0.25">
      <c r="C5" s="25"/>
      <c r="D5" s="25"/>
      <c r="E5" s="25"/>
      <c r="Q5" s="25" t="s">
        <v>44</v>
      </c>
    </row>
    <row r="6" spans="2:17" x14ac:dyDescent="0.25">
      <c r="C6" s="25"/>
      <c r="D6" s="25"/>
      <c r="E6" s="25"/>
      <c r="Q6" s="26" t="s">
        <v>35</v>
      </c>
    </row>
    <row r="7" spans="2:17" ht="20.100000000000001" customHeight="1" x14ac:dyDescent="0.25">
      <c r="C7" s="44" t="s">
        <v>64</v>
      </c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</row>
    <row r="8" spans="2:17" s="5" customFormat="1" ht="20.100000000000001" customHeight="1" x14ac:dyDescent="0.25">
      <c r="B8" s="2" t="s">
        <v>7</v>
      </c>
      <c r="C8" s="2"/>
      <c r="D8" s="3"/>
      <c r="E8" s="3" t="s">
        <v>8</v>
      </c>
      <c r="F8" s="3"/>
      <c r="G8" s="3"/>
      <c r="H8" s="3"/>
      <c r="I8" s="3"/>
      <c r="J8" s="3"/>
      <c r="K8" s="3"/>
      <c r="L8" s="3"/>
      <c r="M8" s="3"/>
      <c r="N8" s="3"/>
      <c r="O8" s="4" t="s">
        <v>9</v>
      </c>
    </row>
    <row r="9" spans="2:17" ht="5.0999999999999996" customHeight="1" x14ac:dyDescent="0.25">
      <c r="I9" s="6"/>
      <c r="O9" s="7"/>
    </row>
    <row r="10" spans="2:17" x14ac:dyDescent="0.25">
      <c r="C10" t="s">
        <v>0</v>
      </c>
      <c r="D10" s="43" t="s">
        <v>1</v>
      </c>
      <c r="E10" s="43"/>
      <c r="I10" s="9"/>
      <c r="J10" t="s">
        <v>0</v>
      </c>
      <c r="K10" t="s">
        <v>3</v>
      </c>
      <c r="N10" s="10">
        <v>340000</v>
      </c>
    </row>
    <row r="11" spans="2:17" x14ac:dyDescent="0.25">
      <c r="D11" t="s">
        <v>10</v>
      </c>
      <c r="E11" t="s">
        <v>38</v>
      </c>
      <c r="G11" s="10">
        <f>Ausgangsbilanz!G11</f>
        <v>1070000</v>
      </c>
      <c r="H11" s="11"/>
      <c r="I11" s="12"/>
      <c r="N11" s="13"/>
    </row>
    <row r="12" spans="2:17" x14ac:dyDescent="0.25">
      <c r="D12" s="14" t="s">
        <v>11</v>
      </c>
      <c r="E12" t="s">
        <v>33</v>
      </c>
      <c r="G12" s="10">
        <f>Ausgangsbilanz!G12</f>
        <v>850000</v>
      </c>
      <c r="H12" s="11"/>
      <c r="I12" s="12"/>
      <c r="J12" t="s">
        <v>4</v>
      </c>
      <c r="K12" t="s">
        <v>5</v>
      </c>
      <c r="N12" s="13"/>
    </row>
    <row r="13" spans="2:17" x14ac:dyDescent="0.25">
      <c r="G13" s="13"/>
      <c r="H13" s="11"/>
      <c r="I13" s="12"/>
      <c r="K13" t="s">
        <v>10</v>
      </c>
      <c r="L13" s="8" t="s">
        <v>12</v>
      </c>
      <c r="M13" s="8"/>
      <c r="N13" s="23"/>
    </row>
    <row r="14" spans="2:17" x14ac:dyDescent="0.25">
      <c r="D14" t="s">
        <v>13</v>
      </c>
      <c r="E14" t="s">
        <v>37</v>
      </c>
      <c r="G14" s="10">
        <f>Ausgangsbilanz!G14</f>
        <v>333000</v>
      </c>
      <c r="H14" s="11"/>
      <c r="I14" s="12"/>
      <c r="K14" t="s">
        <v>11</v>
      </c>
      <c r="L14" s="8" t="s">
        <v>14</v>
      </c>
      <c r="M14" s="8"/>
      <c r="N14" s="23"/>
    </row>
    <row r="15" spans="2:17" x14ac:dyDescent="0.25">
      <c r="G15" s="13"/>
      <c r="H15" s="11"/>
      <c r="I15" s="12"/>
      <c r="K15" t="s">
        <v>13</v>
      </c>
      <c r="L15" s="43" t="s">
        <v>15</v>
      </c>
      <c r="M15" s="43"/>
      <c r="N15" s="23"/>
    </row>
    <row r="16" spans="2:17" x14ac:dyDescent="0.25">
      <c r="G16" s="13"/>
      <c r="H16" s="11"/>
      <c r="I16" s="12"/>
    </row>
    <row r="17" spans="3:14" x14ac:dyDescent="0.25">
      <c r="C17" t="s">
        <v>4</v>
      </c>
      <c r="D17" s="43" t="s">
        <v>2</v>
      </c>
      <c r="E17" s="43"/>
      <c r="G17" s="13"/>
      <c r="H17" s="11"/>
      <c r="I17" s="12"/>
      <c r="N17" s="11"/>
    </row>
    <row r="18" spans="3:14" x14ac:dyDescent="0.25">
      <c r="D18" t="s">
        <v>10</v>
      </c>
      <c r="E18" s="43" t="s">
        <v>36</v>
      </c>
      <c r="F18" s="43"/>
      <c r="G18" s="23"/>
      <c r="H18" s="11"/>
      <c r="I18" s="12"/>
      <c r="N18" s="11"/>
    </row>
    <row r="19" spans="3:14" x14ac:dyDescent="0.25">
      <c r="D19" t="s">
        <v>11</v>
      </c>
      <c r="E19" s="43" t="s">
        <v>16</v>
      </c>
      <c r="F19" s="43"/>
      <c r="G19" s="23"/>
      <c r="H19" s="11"/>
      <c r="I19" s="12"/>
      <c r="N19" s="11"/>
    </row>
    <row r="20" spans="3:14" x14ac:dyDescent="0.25">
      <c r="D20" t="s">
        <v>13</v>
      </c>
      <c r="E20" s="43" t="s">
        <v>17</v>
      </c>
      <c r="F20" s="43"/>
      <c r="G20" s="23"/>
      <c r="H20" s="11"/>
      <c r="I20" s="12"/>
      <c r="N20" s="11"/>
    </row>
    <row r="21" spans="3:14" x14ac:dyDescent="0.25">
      <c r="D21" t="s">
        <v>18</v>
      </c>
      <c r="E21" s="43" t="s">
        <v>19</v>
      </c>
      <c r="F21" s="43"/>
      <c r="G21" s="23"/>
      <c r="H21" s="11"/>
      <c r="I21" s="12"/>
      <c r="N21" s="11"/>
    </row>
    <row r="22" spans="3:14" x14ac:dyDescent="0.25">
      <c r="D22" t="s">
        <v>20</v>
      </c>
      <c r="E22" s="43" t="s">
        <v>21</v>
      </c>
      <c r="F22" s="43"/>
      <c r="G22" s="23"/>
      <c r="H22" s="11"/>
      <c r="I22" s="12"/>
      <c r="N22" s="11"/>
    </row>
    <row r="23" spans="3:14" x14ac:dyDescent="0.25">
      <c r="D23" t="s">
        <v>22</v>
      </c>
      <c r="E23" s="43" t="s">
        <v>23</v>
      </c>
      <c r="F23" s="43"/>
      <c r="G23" s="23"/>
      <c r="H23" s="11"/>
      <c r="I23" s="12"/>
      <c r="N23" s="11"/>
    </row>
    <row r="24" spans="3:14" x14ac:dyDescent="0.25">
      <c r="D24" t="s">
        <v>24</v>
      </c>
      <c r="E24" s="43" t="s">
        <v>25</v>
      </c>
      <c r="F24" s="43"/>
      <c r="G24" s="23"/>
      <c r="H24" s="11"/>
      <c r="I24" s="12"/>
      <c r="N24" s="11"/>
    </row>
    <row r="25" spans="3:14" x14ac:dyDescent="0.25">
      <c r="D25" t="s">
        <v>26</v>
      </c>
      <c r="E25" s="43" t="s">
        <v>27</v>
      </c>
      <c r="F25" s="43"/>
      <c r="G25" s="23"/>
      <c r="H25" s="11"/>
      <c r="I25" s="12"/>
      <c r="N25" s="11"/>
    </row>
    <row r="26" spans="3:14" x14ac:dyDescent="0.25">
      <c r="D26" t="s">
        <v>28</v>
      </c>
      <c r="E26" s="43" t="s">
        <v>29</v>
      </c>
      <c r="F26" s="43"/>
      <c r="G26" s="23"/>
      <c r="H26" s="11"/>
      <c r="I26" s="12"/>
      <c r="N26" s="11"/>
    </row>
    <row r="27" spans="3:14" ht="5.0999999999999996" customHeight="1" x14ac:dyDescent="0.25">
      <c r="C27" s="1"/>
      <c r="D27" s="1"/>
      <c r="E27" s="8"/>
      <c r="F27" s="8"/>
      <c r="G27" s="13"/>
      <c r="H27" s="11"/>
      <c r="I27" s="12"/>
      <c r="N27" s="15"/>
    </row>
    <row r="28" spans="3:14" ht="15.75" thickBot="1" x14ac:dyDescent="0.3">
      <c r="C28" s="16"/>
      <c r="D28" s="16"/>
      <c r="G28" s="20">
        <f>SUM(G11:G26)</f>
        <v>2253000</v>
      </c>
      <c r="H28" s="17"/>
      <c r="I28" s="18"/>
      <c r="J28" s="19"/>
      <c r="N28" s="20">
        <f>SUM(N10:N15)</f>
        <v>340000</v>
      </c>
    </row>
    <row r="29" spans="3:14" ht="15.75" thickTop="1" x14ac:dyDescent="0.25"/>
    <row r="34" spans="3:12" x14ac:dyDescent="0.25">
      <c r="C34" t="s">
        <v>30</v>
      </c>
      <c r="E34" s="21">
        <f ca="1">TODAY()</f>
        <v>46301</v>
      </c>
    </row>
    <row r="36" spans="3:12" x14ac:dyDescent="0.25">
      <c r="G36" s="22" t="s">
        <v>31</v>
      </c>
      <c r="L36" s="22" t="s">
        <v>32</v>
      </c>
    </row>
  </sheetData>
  <mergeCells count="13">
    <mergeCell ref="E26:F26"/>
    <mergeCell ref="E20:F20"/>
    <mergeCell ref="E21:F21"/>
    <mergeCell ref="E22:F22"/>
    <mergeCell ref="E23:F23"/>
    <mergeCell ref="E24:F24"/>
    <mergeCell ref="E25:F25"/>
    <mergeCell ref="E19:F19"/>
    <mergeCell ref="C7:N7"/>
    <mergeCell ref="D10:E10"/>
    <mergeCell ref="L15:M15"/>
    <mergeCell ref="D17:E17"/>
    <mergeCell ref="E18:F18"/>
  </mergeCells>
  <hyperlinks>
    <hyperlink ref="B1:E1" location="Ausgangsbilanz!B1" display="Ausgangsbilanz" xr:uid="{E46D3237-EA9F-4A8A-AEFE-B3705741987A}"/>
    <hyperlink ref="B2:E2" location="'Bilanz nach Beleg 1'!B2" display="Bilanz nach Beleg 1" xr:uid="{E2CD39BE-0FA1-465C-A687-2F17EFE96236}"/>
    <hyperlink ref="B3:E3" location="'Bilanz nach Beleg 1+2'!B3" display="Bilanz nach Beleg 1+2" xr:uid="{4AD26688-095B-44FF-A4C2-7C76A9A231AB}"/>
    <hyperlink ref="B4:E4" location="'Bilanz nach Beleg 1, 2+3'!B4" display="Bilanz nach Beleg 1, 2+3" xr:uid="{A39109C0-28D1-40F8-B358-95B51C68C37A}"/>
    <hyperlink ref="B5:E5" location="'Bilanz nach Beleg 1, 2, 3+4'!B5" display="Bilanz nach Beleg 1, 2, 3+4" xr:uid="{9EF4578B-5D1A-484A-8253-38B7966463F7}"/>
    <hyperlink ref="B6:E6" location="Schlussbilanz!B6" display="Schlussbilanz" xr:uid="{FD3B9730-6463-4309-A3AA-F911E1724039}"/>
    <hyperlink ref="Q1" location="Ausgangsbilanz!B1" display="Ausgangsbilanz" xr:uid="{855C0CBD-5ECD-4681-9A93-A244A9BCC8E8}"/>
    <hyperlink ref="Q2" location="'Bilanz nach Beleg 1'!B2" display="Bilanz nach Beleg 1" xr:uid="{864F6152-B597-46AD-84DD-3EDC158402E9}"/>
  </hyperlinks>
  <pageMargins left="0.7" right="0.7" top="0.78740157499999996" bottom="0.78740157499999996" header="0.3" footer="0.3"/>
  <pageSetup paperSize="9" scale="75" fitToHeight="0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872CA-ED27-4B53-8435-A8CA9F612050}">
  <sheetPr codeName="Tabelle7">
    <tabColor theme="9"/>
    <pageSetUpPr fitToPage="1"/>
  </sheetPr>
  <dimension ref="A1:T29"/>
  <sheetViews>
    <sheetView showGridLines="0" workbookViewId="0">
      <selection activeCell="V16" sqref="V16"/>
    </sheetView>
  </sheetViews>
  <sheetFormatPr baseColWidth="10" defaultRowHeight="15" x14ac:dyDescent="0.25"/>
  <cols>
    <col min="2" max="4" width="3.28515625" customWidth="1"/>
    <col min="5" max="6" width="17.28515625" customWidth="1"/>
    <col min="8" max="8" width="14.5703125" bestFit="1" customWidth="1"/>
    <col min="9" max="12" width="3.28515625" customWidth="1"/>
    <col min="13" max="13" width="30.7109375" customWidth="1"/>
    <col min="15" max="15" width="14.5703125" bestFit="1" customWidth="1"/>
    <col min="16" max="16" width="2.7109375" customWidth="1"/>
    <col min="18" max="19" width="2.7109375" customWidth="1"/>
    <col min="20" max="20" width="43.28515625" customWidth="1"/>
  </cols>
  <sheetData>
    <row r="1" spans="1:20" x14ac:dyDescent="0.25">
      <c r="A1" s="32"/>
      <c r="B1" s="26"/>
      <c r="C1" s="25"/>
      <c r="D1" s="25"/>
      <c r="E1" s="25"/>
      <c r="F1" s="25"/>
    </row>
    <row r="2" spans="1:20" ht="20.100000000000001" customHeight="1" x14ac:dyDescent="0.25">
      <c r="C2" s="44" t="s">
        <v>6</v>
      </c>
      <c r="D2" s="44"/>
      <c r="E2" s="44"/>
      <c r="F2" s="44"/>
      <c r="G2" s="44"/>
      <c r="H2" s="44"/>
      <c r="I2" s="44"/>
      <c r="J2" s="44"/>
      <c r="K2" s="44"/>
      <c r="L2" s="44"/>
      <c r="M2" s="44"/>
      <c r="N2" s="44"/>
      <c r="O2" s="44"/>
    </row>
    <row r="3" spans="1:20" s="5" customFormat="1" ht="20.100000000000001" customHeight="1" x14ac:dyDescent="0.25">
      <c r="B3" s="35" t="s">
        <v>7</v>
      </c>
      <c r="C3" s="2"/>
      <c r="D3" s="3"/>
      <c r="E3" s="3" t="str">
        <f>"Bilanz der Duisdorfer BüroKonzept KG zum 31. Dezember 20"&amp;TEXT(E27, "JJ")</f>
        <v>Bilanz der Duisdorfer BüroKonzept KG zum 31. Dezember 2000</v>
      </c>
      <c r="F3" s="3"/>
      <c r="G3" s="3"/>
      <c r="H3" s="3"/>
      <c r="I3" s="3"/>
      <c r="J3" s="3"/>
      <c r="K3" s="3"/>
      <c r="L3" s="3"/>
      <c r="M3" s="3"/>
      <c r="N3" s="3"/>
      <c r="O3" s="3"/>
      <c r="P3" s="36" t="s">
        <v>9</v>
      </c>
      <c r="T3" s="28" t="s">
        <v>62</v>
      </c>
    </row>
    <row r="4" spans="1:20" ht="15" customHeight="1" x14ac:dyDescent="0.25">
      <c r="J4" s="6"/>
      <c r="P4" s="7"/>
      <c r="T4" s="40" t="s">
        <v>63</v>
      </c>
    </row>
    <row r="5" spans="1:20" ht="15" customHeight="1" x14ac:dyDescent="0.25">
      <c r="C5" t="s">
        <v>0</v>
      </c>
      <c r="D5" s="43" t="s">
        <v>1</v>
      </c>
      <c r="E5" s="43"/>
      <c r="F5" s="8"/>
      <c r="J5" s="9"/>
      <c r="K5" t="s">
        <v>0</v>
      </c>
      <c r="L5" t="s">
        <v>3</v>
      </c>
      <c r="O5" s="10"/>
      <c r="T5" s="41" t="s">
        <v>67</v>
      </c>
    </row>
    <row r="6" spans="1:20" ht="15" customHeight="1" x14ac:dyDescent="0.25">
      <c r="D6" s="7" t="s">
        <v>10</v>
      </c>
      <c r="E6" t="s">
        <v>38</v>
      </c>
      <c r="H6" s="10"/>
      <c r="I6" s="11"/>
      <c r="J6" s="12"/>
      <c r="O6" s="13"/>
      <c r="T6" s="41" t="s">
        <v>71</v>
      </c>
    </row>
    <row r="7" spans="1:20" x14ac:dyDescent="0.25">
      <c r="D7" s="7" t="s">
        <v>11</v>
      </c>
      <c r="E7" t="s">
        <v>33</v>
      </c>
      <c r="H7" s="10"/>
      <c r="I7" s="11"/>
      <c r="J7" s="12"/>
      <c r="K7" t="s">
        <v>4</v>
      </c>
      <c r="L7" t="s">
        <v>5</v>
      </c>
      <c r="O7" s="13"/>
      <c r="T7" s="39" t="s">
        <v>68</v>
      </c>
    </row>
    <row r="8" spans="1:20" ht="15" customHeight="1" x14ac:dyDescent="0.25">
      <c r="D8" s="7" t="s">
        <v>13</v>
      </c>
      <c r="E8" t="s">
        <v>39</v>
      </c>
      <c r="H8" s="10"/>
      <c r="I8" s="11"/>
      <c r="J8" s="12"/>
      <c r="K8" s="7"/>
      <c r="L8" s="7" t="s">
        <v>10</v>
      </c>
      <c r="M8" s="8" t="s">
        <v>12</v>
      </c>
      <c r="N8" s="8"/>
      <c r="O8" s="10"/>
      <c r="T8" s="39" t="s">
        <v>69</v>
      </c>
    </row>
    <row r="9" spans="1:20" x14ac:dyDescent="0.25">
      <c r="I9" s="11"/>
      <c r="J9" s="12"/>
      <c r="K9" s="7"/>
      <c r="L9" s="7" t="s">
        <v>11</v>
      </c>
      <c r="M9" s="8" t="s">
        <v>14</v>
      </c>
      <c r="N9" s="8"/>
      <c r="O9" s="10"/>
      <c r="T9" s="39" t="s">
        <v>70</v>
      </c>
    </row>
    <row r="10" spans="1:20" x14ac:dyDescent="0.25">
      <c r="C10" t="s">
        <v>4</v>
      </c>
      <c r="D10" s="8" t="s">
        <v>2</v>
      </c>
      <c r="E10" s="8"/>
      <c r="F10" s="8"/>
      <c r="H10" s="13"/>
      <c r="I10" s="11"/>
      <c r="J10" s="12"/>
      <c r="K10" s="7"/>
      <c r="L10" s="7" t="s">
        <v>13</v>
      </c>
      <c r="M10" s="43" t="s">
        <v>15</v>
      </c>
      <c r="N10" s="43"/>
      <c r="O10" s="10"/>
    </row>
    <row r="11" spans="1:20" x14ac:dyDescent="0.25">
      <c r="D11" s="7" t="s">
        <v>10</v>
      </c>
      <c r="E11" s="8" t="s">
        <v>36</v>
      </c>
      <c r="F11" s="8"/>
      <c r="G11" s="8"/>
      <c r="H11" s="10"/>
      <c r="I11" s="11"/>
      <c r="J11" s="12"/>
      <c r="T11" s="42" t="s">
        <v>66</v>
      </c>
    </row>
    <row r="12" spans="1:20" x14ac:dyDescent="0.25">
      <c r="D12" s="7" t="s">
        <v>11</v>
      </c>
      <c r="E12" s="8" t="s">
        <v>40</v>
      </c>
      <c r="F12" s="8"/>
      <c r="G12" s="8"/>
      <c r="H12" s="10"/>
      <c r="I12" s="11"/>
      <c r="J12" s="12"/>
      <c r="O12" s="11"/>
      <c r="T12" s="39" t="s">
        <v>72</v>
      </c>
    </row>
    <row r="13" spans="1:20" x14ac:dyDescent="0.25">
      <c r="D13" s="7" t="s">
        <v>13</v>
      </c>
      <c r="E13" s="8" t="s">
        <v>17</v>
      </c>
      <c r="F13" s="8"/>
      <c r="G13" s="8"/>
      <c r="H13" s="10"/>
      <c r="I13" s="11"/>
      <c r="J13" s="12"/>
      <c r="O13" s="11"/>
      <c r="T13" s="39" t="s">
        <v>73</v>
      </c>
    </row>
    <row r="14" spans="1:20" x14ac:dyDescent="0.25">
      <c r="D14" s="7" t="s">
        <v>18</v>
      </c>
      <c r="E14" s="8" t="s">
        <v>19</v>
      </c>
      <c r="F14" s="8"/>
      <c r="G14" s="8"/>
      <c r="H14" s="10"/>
      <c r="I14" s="11"/>
      <c r="J14" s="12"/>
      <c r="O14" s="11"/>
      <c r="T14" s="39" t="s">
        <v>74</v>
      </c>
    </row>
    <row r="15" spans="1:20" x14ac:dyDescent="0.25">
      <c r="D15" s="7" t="s">
        <v>20</v>
      </c>
      <c r="E15" s="8" t="s">
        <v>21</v>
      </c>
      <c r="F15" s="8"/>
      <c r="G15" s="8"/>
      <c r="H15" s="10"/>
      <c r="I15" s="11"/>
      <c r="J15" s="12"/>
      <c r="O15" s="11"/>
      <c r="T15" s="39" t="s">
        <v>75</v>
      </c>
    </row>
    <row r="16" spans="1:20" x14ac:dyDescent="0.25">
      <c r="D16" s="7" t="s">
        <v>22</v>
      </c>
      <c r="E16" s="8" t="s">
        <v>23</v>
      </c>
      <c r="F16" s="8"/>
      <c r="G16" s="8"/>
      <c r="H16" s="10"/>
      <c r="I16" s="11"/>
      <c r="J16" s="12"/>
      <c r="O16" s="11"/>
      <c r="T16" s="39"/>
    </row>
    <row r="17" spans="3:20" ht="15" customHeight="1" x14ac:dyDescent="0.25">
      <c r="D17" s="7" t="s">
        <v>24</v>
      </c>
      <c r="E17" s="8" t="s">
        <v>25</v>
      </c>
      <c r="F17" s="8"/>
      <c r="G17" s="8"/>
      <c r="H17" s="10"/>
      <c r="I17" s="11"/>
      <c r="J17" s="12"/>
      <c r="O17" s="11"/>
      <c r="T17" s="39"/>
    </row>
    <row r="18" spans="3:20" x14ac:dyDescent="0.25">
      <c r="D18" s="7" t="s">
        <v>26</v>
      </c>
      <c r="E18" s="43" t="s">
        <v>27</v>
      </c>
      <c r="F18" s="43"/>
      <c r="G18" s="43"/>
      <c r="H18" s="10"/>
      <c r="I18" s="11"/>
      <c r="J18" s="12"/>
      <c r="O18" s="11"/>
      <c r="T18" s="39"/>
    </row>
    <row r="19" spans="3:20" x14ac:dyDescent="0.25">
      <c r="D19" s="7" t="s">
        <v>28</v>
      </c>
      <c r="E19" s="43" t="s">
        <v>29</v>
      </c>
      <c r="F19" s="43"/>
      <c r="G19" s="43"/>
      <c r="H19" s="10"/>
      <c r="I19" s="11"/>
      <c r="J19" s="12"/>
      <c r="O19" s="11"/>
      <c r="T19" s="39"/>
    </row>
    <row r="20" spans="3:20" ht="5.0999999999999996" customHeight="1" x14ac:dyDescent="0.25">
      <c r="C20" s="1"/>
      <c r="D20" s="1"/>
      <c r="E20" s="8"/>
      <c r="F20" s="8"/>
      <c r="G20" s="8"/>
      <c r="H20" s="13"/>
      <c r="I20" s="11"/>
      <c r="J20" s="12"/>
      <c r="O20" s="15"/>
      <c r="T20" s="39"/>
    </row>
    <row r="21" spans="3:20" ht="15.75" thickBot="1" x14ac:dyDescent="0.3">
      <c r="C21" s="16"/>
      <c r="D21" s="16"/>
      <c r="H21" s="20" t="str">
        <f>IF(SUM(H6:H8,H11:H19)=0,"",SUM(H6:H8,H11:H19))</f>
        <v/>
      </c>
      <c r="I21" s="17"/>
      <c r="J21" s="18"/>
      <c r="K21" s="19"/>
      <c r="O21" s="20" t="str">
        <f>IF(SUM(O5,O8:O10)=0,"",SUM(O5,O8:O10))</f>
        <v/>
      </c>
      <c r="R21" s="24"/>
    </row>
    <row r="22" spans="3:20" ht="15.75" thickTop="1" x14ac:dyDescent="0.25"/>
    <row r="25" spans="3:20" ht="15" customHeight="1" x14ac:dyDescent="0.25">
      <c r="M25" s="8"/>
      <c r="T25" s="39"/>
    </row>
    <row r="26" spans="3:20" x14ac:dyDescent="0.25">
      <c r="T26" s="39"/>
    </row>
    <row r="27" spans="3:20" x14ac:dyDescent="0.25">
      <c r="C27" t="s">
        <v>30</v>
      </c>
      <c r="E27" s="38"/>
      <c r="F27" s="37"/>
      <c r="T27" s="39"/>
    </row>
    <row r="28" spans="3:20" x14ac:dyDescent="0.25">
      <c r="C28" s="33" t="s">
        <v>60</v>
      </c>
      <c r="G28" s="34" t="s">
        <v>61</v>
      </c>
      <c r="H28" s="1"/>
      <c r="I28" s="1"/>
      <c r="J28" s="1"/>
      <c r="K28" s="1"/>
      <c r="T28" s="39"/>
    </row>
    <row r="29" spans="3:20" x14ac:dyDescent="0.25">
      <c r="H29" s="45" t="s">
        <v>31</v>
      </c>
      <c r="I29" s="45"/>
      <c r="J29" s="45"/>
      <c r="K29" s="45"/>
      <c r="M29" s="22" t="s">
        <v>32</v>
      </c>
    </row>
  </sheetData>
  <mergeCells count="6">
    <mergeCell ref="E19:G19"/>
    <mergeCell ref="H29:K29"/>
    <mergeCell ref="E18:G18"/>
    <mergeCell ref="C2:O2"/>
    <mergeCell ref="D5:E5"/>
    <mergeCell ref="M10:N10"/>
  </mergeCells>
  <pageMargins left="0.70866141732283472" right="0.70866141732283472" top="0.78740157480314965" bottom="0.78740157480314965" header="0.31496062992125984" footer="0.31496062992125984"/>
  <pageSetup paperSize="9" scale="61" fitToHeight="0" orientation="portrait" r:id="rId1"/>
  <headerFooter>
    <oddHeader>&amp;R&amp;G</oddHeader>
  </headerFooter>
  <drawing r:id="rId2"/>
  <legacyDrawingHF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1B9FBC-D10E-4E50-953D-23C117CCA836}">
  <sheetPr codeName="Tabelle8">
    <tabColor theme="9"/>
  </sheetPr>
  <dimension ref="B3:P31"/>
  <sheetViews>
    <sheetView showGridLines="0" workbookViewId="0">
      <selection activeCell="F22" sqref="F22"/>
    </sheetView>
  </sheetViews>
  <sheetFormatPr baseColWidth="10" defaultRowHeight="15" x14ac:dyDescent="0.25"/>
  <cols>
    <col min="10" max="11" width="2.7109375" customWidth="1"/>
  </cols>
  <sheetData>
    <row r="3" spans="2:16" x14ac:dyDescent="0.25">
      <c r="B3" s="28" t="s">
        <v>76</v>
      </c>
      <c r="J3" s="30"/>
      <c r="K3" s="31"/>
      <c r="L3" s="27" t="s">
        <v>45</v>
      </c>
    </row>
    <row r="4" spans="2:16" x14ac:dyDescent="0.25">
      <c r="J4" s="30"/>
      <c r="K4" s="31"/>
    </row>
    <row r="5" spans="2:16" x14ac:dyDescent="0.25">
      <c r="J5" s="30"/>
      <c r="K5" s="31"/>
      <c r="P5" s="29" t="s">
        <v>48</v>
      </c>
    </row>
    <row r="6" spans="2:16" x14ac:dyDescent="0.25">
      <c r="J6" s="30"/>
      <c r="K6" s="31"/>
      <c r="P6" s="27"/>
    </row>
    <row r="7" spans="2:16" x14ac:dyDescent="0.25">
      <c r="J7" s="30"/>
      <c r="K7" s="31"/>
      <c r="P7" s="27"/>
    </row>
    <row r="8" spans="2:16" x14ac:dyDescent="0.25">
      <c r="J8" s="30"/>
      <c r="K8" s="31"/>
      <c r="P8" s="27"/>
    </row>
    <row r="9" spans="2:16" x14ac:dyDescent="0.25">
      <c r="J9" s="30"/>
      <c r="K9" s="31"/>
      <c r="P9" s="27" t="s">
        <v>46</v>
      </c>
    </row>
    <row r="10" spans="2:16" x14ac:dyDescent="0.25">
      <c r="J10" s="30"/>
      <c r="K10" s="31"/>
      <c r="P10" s="27" t="s">
        <v>47</v>
      </c>
    </row>
    <row r="11" spans="2:16" x14ac:dyDescent="0.25">
      <c r="J11" s="30"/>
      <c r="K11" s="31"/>
      <c r="P11" s="27"/>
    </row>
    <row r="12" spans="2:16" x14ac:dyDescent="0.25">
      <c r="J12" s="30"/>
      <c r="K12" s="31"/>
      <c r="P12" s="27"/>
    </row>
    <row r="13" spans="2:16" x14ac:dyDescent="0.25">
      <c r="J13" s="30"/>
      <c r="K13" s="31"/>
      <c r="P13" s="27" t="s">
        <v>52</v>
      </c>
    </row>
    <row r="14" spans="2:16" x14ac:dyDescent="0.25">
      <c r="J14" s="30"/>
      <c r="K14" s="31"/>
      <c r="P14" s="27"/>
    </row>
    <row r="15" spans="2:16" x14ac:dyDescent="0.25">
      <c r="J15" s="30"/>
      <c r="K15" s="31"/>
      <c r="P15" s="27"/>
    </row>
    <row r="16" spans="2:16" x14ac:dyDescent="0.25">
      <c r="J16" s="30"/>
      <c r="K16" s="31"/>
      <c r="P16" s="27" t="s">
        <v>49</v>
      </c>
    </row>
    <row r="17" spans="10:12" x14ac:dyDescent="0.25">
      <c r="J17" s="30"/>
      <c r="K17" s="31"/>
    </row>
    <row r="18" spans="10:12" x14ac:dyDescent="0.25">
      <c r="J18" s="30"/>
      <c r="K18" s="31"/>
    </row>
    <row r="19" spans="10:12" x14ac:dyDescent="0.25">
      <c r="J19" s="30"/>
      <c r="K19" s="31"/>
    </row>
    <row r="20" spans="10:12" x14ac:dyDescent="0.25">
      <c r="J20" s="30"/>
      <c r="K20" s="31"/>
    </row>
    <row r="21" spans="10:12" x14ac:dyDescent="0.25">
      <c r="J21" s="30"/>
      <c r="K21" s="31"/>
      <c r="L21" s="27" t="s">
        <v>50</v>
      </c>
    </row>
    <row r="22" spans="10:12" x14ac:dyDescent="0.25">
      <c r="J22" s="30"/>
      <c r="K22" s="31"/>
      <c r="L22" s="27" t="s">
        <v>51</v>
      </c>
    </row>
    <row r="23" spans="10:12" x14ac:dyDescent="0.25">
      <c r="J23" s="30"/>
      <c r="K23" s="31"/>
      <c r="L23" s="27"/>
    </row>
    <row r="24" spans="10:12" x14ac:dyDescent="0.25">
      <c r="J24" s="30"/>
      <c r="K24" s="31"/>
      <c r="L24" s="27" t="s">
        <v>53</v>
      </c>
    </row>
    <row r="25" spans="10:12" x14ac:dyDescent="0.25">
      <c r="J25" s="30"/>
      <c r="K25" s="31"/>
      <c r="L25" s="27" t="s">
        <v>54</v>
      </c>
    </row>
    <row r="26" spans="10:12" x14ac:dyDescent="0.25">
      <c r="J26" s="30"/>
      <c r="K26" s="31"/>
      <c r="L26" s="27" t="s">
        <v>55</v>
      </c>
    </row>
    <row r="27" spans="10:12" x14ac:dyDescent="0.25">
      <c r="J27" s="30"/>
      <c r="K27" s="31"/>
      <c r="L27" s="27"/>
    </row>
    <row r="28" spans="10:12" x14ac:dyDescent="0.25">
      <c r="J28" s="30"/>
      <c r="K28" s="31"/>
      <c r="L28" s="28" t="s">
        <v>56</v>
      </c>
    </row>
    <row r="29" spans="10:12" x14ac:dyDescent="0.25">
      <c r="J29" s="30"/>
      <c r="K29" s="31"/>
      <c r="L29" s="27" t="s">
        <v>57</v>
      </c>
    </row>
    <row r="30" spans="10:12" x14ac:dyDescent="0.25">
      <c r="J30" s="30"/>
      <c r="K30" s="31"/>
      <c r="L30" s="27" t="s">
        <v>58</v>
      </c>
    </row>
    <row r="31" spans="10:12" x14ac:dyDescent="0.25">
      <c r="J31" s="30"/>
      <c r="K31" s="31"/>
      <c r="L31" s="27" t="s">
        <v>59</v>
      </c>
    </row>
  </sheetData>
  <pageMargins left="0.7" right="0.7" top="0.78740157499999996" bottom="0.78740157499999996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8</vt:i4>
      </vt:variant>
      <vt:variant>
        <vt:lpstr>Benannte Bereiche</vt:lpstr>
      </vt:variant>
      <vt:variant>
        <vt:i4>7</vt:i4>
      </vt:variant>
    </vt:vector>
  </HeadingPairs>
  <TitlesOfParts>
    <vt:vector size="15" baseType="lpstr">
      <vt:lpstr>Ausgangsbilanz</vt:lpstr>
      <vt:lpstr>Bilanz nach Beleg 1</vt:lpstr>
      <vt:lpstr>Bilanz nach Beleg 1+2</vt:lpstr>
      <vt:lpstr>Bilanz nach Beleg 1, 2+3</vt:lpstr>
      <vt:lpstr>Bilanz nach Beleg 1, 2, 3+4</vt:lpstr>
      <vt:lpstr>Schlussbilanz</vt:lpstr>
      <vt:lpstr>Kopiervorlage Bilanz DBK</vt:lpstr>
      <vt:lpstr>Kopiervorlage Buchhalternase</vt:lpstr>
      <vt:lpstr>Ausgangsbilanz!Druckbereich</vt:lpstr>
      <vt:lpstr>'Bilanz nach Beleg 1'!Druckbereich</vt:lpstr>
      <vt:lpstr>'Bilanz nach Beleg 1, 2, 3+4'!Druckbereich</vt:lpstr>
      <vt:lpstr>'Bilanz nach Beleg 1, 2+3'!Druckbereich</vt:lpstr>
      <vt:lpstr>'Bilanz nach Beleg 1+2'!Druckbereich</vt:lpstr>
      <vt:lpstr>'Kopiervorlage Bilanz DBK'!Druckbereich</vt:lpstr>
      <vt:lpstr>Schlussbilanz!Druckbereich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Sommer, Daniela</dc:creator>
  <cp:lastModifiedBy>Gorontzy, Thomas</cp:lastModifiedBy>
  <cp:lastPrinted>2026-09-04T11:42:15Z</cp:lastPrinted>
  <dcterms:created xsi:type="dcterms:W3CDTF">2026-09-01T11:37:43Z</dcterms:created>
  <dcterms:modified xsi:type="dcterms:W3CDTF">2026-10-06T11:12:38Z</dcterms:modified>
</cp:coreProperties>
</file>